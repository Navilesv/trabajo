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ón cargos" sheetId="1" state="visible" r:id="rId1"/>
    <sheet xmlns:r="http://schemas.openxmlformats.org/officeDocument/2006/relationships" name="Resumen ej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5E8F0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3" fontId="5" fillId="4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vertical="top" wrapText="1"/>
    </xf>
    <xf numFmtId="0" fontId="6" fillId="7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40" customWidth="1" min="3" max="3"/>
    <col width="7" customWidth="1" min="4" max="4"/>
    <col width="13" customWidth="1" min="5" max="5"/>
    <col width="17" customWidth="1" min="6" max="6"/>
    <col width="13" customWidth="1" min="7" max="7"/>
    <col width="15" customWidth="1" min="8" max="8"/>
    <col width="16" customWidth="1" min="9" max="9"/>
    <col width="55" customWidth="1" min="10" max="10"/>
  </cols>
  <sheetData>
    <row r="1">
      <c r="A1" s="1" t="inlineStr">
        <is>
          <t>PROYECCIÓN DE PROVISIÓN DE CARGOS FOSIS 2026 — actualizada al 12-06-2026</t>
        </is>
      </c>
    </row>
    <row r="2">
      <c r="A2" s="2" t="inlineStr">
        <is>
          <t>Base: Dashboard de Dotación (corte may-2026) + actualizaciones de junio. Hitos incorporados: ingreso Jefe/a Depto. Servicios Generales (08-06-2026) y reactivación del proceso Encargado/a de Personas Ñuble.</t>
        </is>
      </c>
    </row>
    <row r="4">
      <c r="A4" s="3" t="inlineStr">
        <is>
          <t>N°</t>
        </is>
      </c>
      <c r="B4" s="3" t="inlineStr">
        <is>
          <t>Región / Unidad</t>
        </is>
      </c>
      <c r="C4" s="3" t="inlineStr">
        <is>
          <t>Cargo</t>
        </is>
      </c>
      <c r="D4" s="3" t="inlineStr">
        <is>
          <t>Grado</t>
        </is>
      </c>
      <c r="E4" s="3" t="inlineStr">
        <is>
          <t>Categoría</t>
        </is>
      </c>
      <c r="F4" s="3" t="inlineStr">
        <is>
          <t>Estado (12-06-2026)</t>
        </is>
      </c>
      <c r="G4" s="3" t="inlineStr">
        <is>
          <t>Prioridad</t>
        </is>
      </c>
      <c r="H4" s="3" t="inlineStr">
        <is>
          <t>Provisión proyectada</t>
        </is>
      </c>
      <c r="I4" s="3" t="inlineStr">
        <is>
          <t>Costo incremental anual estimado (miles $)</t>
        </is>
      </c>
      <c r="J4" s="3" t="inlineStr">
        <is>
          <t>Comentario / fundamento</t>
        </is>
      </c>
    </row>
    <row r="5">
      <c r="A5" s="4" t="n">
        <v>1</v>
      </c>
      <c r="B5" s="4" t="inlineStr">
        <is>
          <t>Dirección Nacional</t>
        </is>
      </c>
      <c r="C5" s="4" t="inlineStr">
        <is>
          <t>Jefe/a Departamento de Servicios Generales</t>
        </is>
      </c>
      <c r="D5" s="4" t="inlineStr">
        <is>
          <t>7</t>
        </is>
      </c>
      <c r="E5" s="4" t="inlineStr">
        <is>
          <t>Jefatura/Enc.</t>
        </is>
      </c>
      <c r="F5" s="4" t="inlineStr">
        <is>
          <t>PROVISTA</t>
        </is>
      </c>
      <c r="G5" s="4" t="inlineStr">
        <is>
          <t>—</t>
        </is>
      </c>
      <c r="H5" s="4" t="inlineStr">
        <is>
          <t>Ingreso 08-06-2026</t>
        </is>
      </c>
      <c r="I5" s="5" t="n">
        <v>0</v>
      </c>
      <c r="J5" s="4" t="inlineStr">
        <is>
          <t>Cargo provisto: titular ingresó el 08-06-2026. Consume 1 cupo de la holgura de dotación (71→70). No figuraba en el listado de vacantes del corte may-2026: validar con SDP si corresponde a vacancia posterior al corte.</t>
        </is>
      </c>
    </row>
    <row r="6">
      <c r="A6" s="6" t="n">
        <v>2</v>
      </c>
      <c r="B6" s="6" t="inlineStr">
        <is>
          <t>Tarapacá</t>
        </is>
      </c>
      <c r="C6" s="6" t="inlineStr">
        <is>
          <t>Director/a Regional</t>
        </is>
      </c>
      <c r="D6" s="6" t="inlineStr">
        <is>
          <t>4</t>
        </is>
      </c>
      <c r="E6" s="6" t="inlineStr">
        <is>
          <t>Conducción</t>
        </is>
      </c>
      <c r="F6" s="7" t="inlineStr">
        <is>
          <t>POR REGULARIZAR</t>
        </is>
      </c>
      <c r="G6" s="6" t="inlineStr">
        <is>
          <t>ALTA</t>
        </is>
      </c>
      <c r="H6" s="6" t="inlineStr">
        <is>
          <t>T3-2026</t>
        </is>
      </c>
      <c r="I6" s="8" t="n">
        <v>0</v>
      </c>
      <c r="J6" s="6" t="inlineStr">
        <is>
          <t>Función ya ejercida vía funciones directivas (Ley 21.796): registro nominal en RRHH sin costo incremental. Acción recomendada por el Informe Integral DO.</t>
        </is>
      </c>
    </row>
    <row r="7">
      <c r="A7" s="6" t="n">
        <v>3</v>
      </c>
      <c r="B7" s="6" t="inlineStr">
        <is>
          <t>Tarapacá</t>
        </is>
      </c>
      <c r="C7" s="6" t="inlineStr">
        <is>
          <t>Encargado/a de Control de Gestión Regional</t>
        </is>
      </c>
      <c r="D7" s="6" t="inlineStr">
        <is>
          <t>12</t>
        </is>
      </c>
      <c r="E7" s="6" t="inlineStr">
        <is>
          <t>Jefatura/Enc.</t>
        </is>
      </c>
      <c r="F7" s="9" t="inlineStr">
        <is>
          <t>POR PROVEER</t>
        </is>
      </c>
      <c r="G7" s="6" t="inlineStr">
        <is>
          <t>MEDIA</t>
        </is>
      </c>
      <c r="H7" s="6" t="inlineStr">
        <is>
          <t>T4-2026</t>
        </is>
      </c>
      <c r="I7" s="8" t="n">
        <v>41311</v>
      </c>
      <c r="J7" s="6" t="inlineStr">
        <is>
          <t>Provisión programada segunda mitad 2026, sujeta a vía Circular N°12 (art. 7d / convenio).</t>
        </is>
      </c>
    </row>
    <row r="8">
      <c r="A8" s="6" t="n">
        <v>4</v>
      </c>
      <c r="B8" s="6" t="inlineStr">
        <is>
          <t>Tarapacá</t>
        </is>
      </c>
      <c r="C8" s="6" t="inlineStr">
        <is>
          <t>Agente de Desarrollo Local</t>
        </is>
      </c>
      <c r="D8" s="6" t="inlineStr">
        <is>
          <t>17</t>
        </is>
      </c>
      <c r="E8" s="6" t="inlineStr">
        <is>
          <t>Ejecutor</t>
        </is>
      </c>
      <c r="F8" s="10" t="inlineStr">
        <is>
          <t>SUSPENDIDA (C.12)</t>
        </is>
      </c>
      <c r="G8" s="6" t="inlineStr">
        <is>
          <t>CONDICIONADA</t>
        </is>
      </c>
      <c r="H8" s="6" t="inlineStr">
        <is>
          <t>2027 / post-Circular 12</t>
        </is>
      </c>
      <c r="I8" s="8" t="n">
        <v>23606</v>
      </c>
      <c r="J8" s="6" t="inlineStr">
        <is>
          <t>No marcada para proveer en corte may-2026; reevaluar al levantarse las restricciones o vía convenio de programa.</t>
        </is>
      </c>
    </row>
    <row r="9">
      <c r="A9" s="6" t="n">
        <v>5</v>
      </c>
      <c r="B9" s="6" t="inlineStr">
        <is>
          <t>Antofagasta</t>
        </is>
      </c>
      <c r="C9" s="6" t="inlineStr">
        <is>
          <t>Director/a Regional</t>
        </is>
      </c>
      <c r="D9" s="6" t="inlineStr">
        <is>
          <t>4</t>
        </is>
      </c>
      <c r="E9" s="6" t="inlineStr">
        <is>
          <t>Conducción</t>
        </is>
      </c>
      <c r="F9" s="7" t="inlineStr">
        <is>
          <t>POR REGULARIZAR</t>
        </is>
      </c>
      <c r="G9" s="6" t="inlineStr">
        <is>
          <t>ALTA</t>
        </is>
      </c>
      <c r="H9" s="6" t="inlineStr">
        <is>
          <t>T3-2026</t>
        </is>
      </c>
      <c r="I9" s="8" t="n">
        <v>0</v>
      </c>
      <c r="J9" s="6" t="inlineStr">
        <is>
          <t>Función ya ejercida vía funciones directivas (Ley 21.796): registro nominal en RRHH sin costo incremental. Acción recomendada por el Informe Integral DO.</t>
        </is>
      </c>
    </row>
    <row r="10">
      <c r="A10" s="6" t="n">
        <v>6</v>
      </c>
      <c r="B10" s="6" t="inlineStr">
        <is>
          <t>Antofagasta</t>
        </is>
      </c>
      <c r="C10" s="6" t="inlineStr">
        <is>
          <t>Agente de Desarrollo Local</t>
        </is>
      </c>
      <c r="D10" s="6" t="inlineStr">
        <is>
          <t>12</t>
        </is>
      </c>
      <c r="E10" s="6" t="inlineStr">
        <is>
          <t>Ejecutor</t>
        </is>
      </c>
      <c r="F10" s="10" t="inlineStr">
        <is>
          <t>SUSPENDIDA (C.12)</t>
        </is>
      </c>
      <c r="G10" s="6" t="inlineStr">
        <is>
          <t>CONDICIONADA</t>
        </is>
      </c>
      <c r="H10" s="6" t="inlineStr">
        <is>
          <t>2027 / post-Circular 12</t>
        </is>
      </c>
      <c r="I10" s="8" t="n">
        <v>23606</v>
      </c>
      <c r="J10" s="6" t="inlineStr">
        <is>
          <t>No marcada para proveer en corte may-2026; reevaluar al levantarse las restricciones o vía convenio de programa.</t>
        </is>
      </c>
    </row>
    <row r="11">
      <c r="A11" s="6" t="n">
        <v>7</v>
      </c>
      <c r="B11" s="6" t="inlineStr">
        <is>
          <t>Antofagasta</t>
        </is>
      </c>
      <c r="C11" s="6" t="inlineStr">
        <is>
          <t>Asistente Administrativo (Secretaría)</t>
        </is>
      </c>
      <c r="D11" s="6" t="inlineStr">
        <is>
          <t>17</t>
        </is>
      </c>
      <c r="E11" s="6" t="inlineStr">
        <is>
          <t>Soporte</t>
        </is>
      </c>
      <c r="F11" s="10" t="inlineStr">
        <is>
          <t>SUSPENDIDA (C.12)</t>
        </is>
      </c>
      <c r="G11" s="6" t="inlineStr">
        <is>
          <t>CONDICIONADA</t>
        </is>
      </c>
      <c r="H11" s="6" t="inlineStr">
        <is>
          <t>2027 / post-Circular 12</t>
        </is>
      </c>
      <c r="I11" s="8" t="n">
        <v>29508</v>
      </c>
      <c r="J11" s="6" t="inlineStr">
        <is>
          <t>No marcada para proveer en corte may-2026; reevaluar al levantarse las restricciones o vía convenio de programa.</t>
        </is>
      </c>
    </row>
    <row r="12">
      <c r="A12" s="6" t="n">
        <v>8</v>
      </c>
      <c r="B12" s="6" t="inlineStr">
        <is>
          <t>Atacama</t>
        </is>
      </c>
      <c r="C12" s="6" t="inlineStr">
        <is>
          <t>Director/a Regional</t>
        </is>
      </c>
      <c r="D12" s="6" t="inlineStr">
        <is>
          <t>4</t>
        </is>
      </c>
      <c r="E12" s="6" t="inlineStr">
        <is>
          <t>Conducción</t>
        </is>
      </c>
      <c r="F12" s="7" t="inlineStr">
        <is>
          <t>POR REGULARIZAR</t>
        </is>
      </c>
      <c r="G12" s="6" t="inlineStr">
        <is>
          <t>ALTA</t>
        </is>
      </c>
      <c r="H12" s="6" t="inlineStr">
        <is>
          <t>T3-2026</t>
        </is>
      </c>
      <c r="I12" s="8" t="n">
        <v>0</v>
      </c>
      <c r="J12" s="6" t="inlineStr">
        <is>
          <t>Función ya ejercida vía funciones directivas (Ley 21.796): registro nominal en RRHH sin costo incremental. Acción recomendada por el Informe Integral DO.</t>
        </is>
      </c>
    </row>
    <row r="13">
      <c r="A13" s="6" t="n">
        <v>9</v>
      </c>
      <c r="B13" s="6" t="inlineStr">
        <is>
          <t>Coquimbo</t>
        </is>
      </c>
      <c r="C13" s="6" t="inlineStr">
        <is>
          <t>Director/a Regional</t>
        </is>
      </c>
      <c r="D13" s="6" t="inlineStr">
        <is>
          <t>4</t>
        </is>
      </c>
      <c r="E13" s="6" t="inlineStr">
        <is>
          <t>Conducción</t>
        </is>
      </c>
      <c r="F13" s="7" t="inlineStr">
        <is>
          <t>POR REGULARIZAR</t>
        </is>
      </c>
      <c r="G13" s="6" t="inlineStr">
        <is>
          <t>ALTA</t>
        </is>
      </c>
      <c r="H13" s="6" t="inlineStr">
        <is>
          <t>T3-2026</t>
        </is>
      </c>
      <c r="I13" s="8" t="n">
        <v>0</v>
      </c>
      <c r="J13" s="6" t="inlineStr">
        <is>
          <t>Función ya ejercida vía funciones directivas (Ley 21.796): registro nominal en RRHH sin costo incremental. Acción recomendada por el Informe Integral DO.</t>
        </is>
      </c>
    </row>
    <row r="14">
      <c r="A14" s="6" t="n">
        <v>10</v>
      </c>
      <c r="B14" s="6" t="inlineStr">
        <is>
          <t>Coquimbo</t>
        </is>
      </c>
      <c r="C14" s="6" t="inlineStr">
        <is>
          <t>Analista Técnico Transversal</t>
        </is>
      </c>
      <c r="D14" s="6" t="inlineStr">
        <is>
          <t>10</t>
        </is>
      </c>
      <c r="E14" s="6" t="inlineStr">
        <is>
          <t>Soporte</t>
        </is>
      </c>
      <c r="F14" s="10" t="inlineStr">
        <is>
          <t>SUSPENDIDA (C.12)</t>
        </is>
      </c>
      <c r="G14" s="6" t="inlineStr">
        <is>
          <t>CONDICIONADA</t>
        </is>
      </c>
      <c r="H14" s="6" t="inlineStr">
        <is>
          <t>2027 / post-Circular 12</t>
        </is>
      </c>
      <c r="I14" s="8" t="n">
        <v>29508</v>
      </c>
      <c r="J14" s="6" t="inlineStr">
        <is>
          <t>No marcada para proveer en corte may-2026; reevaluar al levantarse las restricciones o vía convenio de programa.</t>
        </is>
      </c>
    </row>
    <row r="15">
      <c r="A15" s="6" t="n">
        <v>11</v>
      </c>
      <c r="B15" s="6" t="inlineStr">
        <is>
          <t>Valparaíso</t>
        </is>
      </c>
      <c r="C15" s="6" t="inlineStr">
        <is>
          <t>Director/a Regional</t>
        </is>
      </c>
      <c r="D15" s="6" t="inlineStr">
        <is>
          <t>4</t>
        </is>
      </c>
      <c r="E15" s="6" t="inlineStr">
        <is>
          <t>Conducción</t>
        </is>
      </c>
      <c r="F15" s="7" t="inlineStr">
        <is>
          <t>POR REGULARIZAR</t>
        </is>
      </c>
      <c r="G15" s="6" t="inlineStr">
        <is>
          <t>ALTA</t>
        </is>
      </c>
      <c r="H15" s="6" t="inlineStr">
        <is>
          <t>T3-2026</t>
        </is>
      </c>
      <c r="I15" s="8" t="n">
        <v>0</v>
      </c>
      <c r="J15" s="6" t="inlineStr">
        <is>
          <t>Función ya ejercida vía funciones directivas (Ley 21.796): registro nominal en RRHH sin costo incremental. Acción recomendada por el Informe Integral DO.</t>
        </is>
      </c>
    </row>
    <row r="16">
      <c r="A16" s="6" t="n">
        <v>12</v>
      </c>
      <c r="B16" s="6" t="inlineStr">
        <is>
          <t>Valparaíso</t>
        </is>
      </c>
      <c r="C16" s="6" t="inlineStr">
        <is>
          <t>Apoyo Provincial Programas SSyOO</t>
        </is>
      </c>
      <c r="D16" s="6" t="inlineStr">
        <is>
          <t>16</t>
        </is>
      </c>
      <c r="E16" s="6" t="inlineStr">
        <is>
          <t>Ejecutor</t>
        </is>
      </c>
      <c r="F16" s="10" t="inlineStr">
        <is>
          <t>SUSPENDIDA (C.12)</t>
        </is>
      </c>
      <c r="G16" s="6" t="inlineStr">
        <is>
          <t>CONDICIONADA</t>
        </is>
      </c>
      <c r="H16" s="6" t="inlineStr">
        <is>
          <t>2027 / post-Circular 12</t>
        </is>
      </c>
      <c r="I16" s="8" t="n">
        <v>23606</v>
      </c>
      <c r="J16" s="6" t="inlineStr">
        <is>
          <t>No marcada para proveer en corte may-2026; reevaluar al levantarse las restricciones o vía convenio de programa.</t>
        </is>
      </c>
    </row>
    <row r="17">
      <c r="A17" s="6" t="n">
        <v>13</v>
      </c>
      <c r="B17" s="6" t="inlineStr">
        <is>
          <t>Valparaíso</t>
        </is>
      </c>
      <c r="C17" s="6" t="inlineStr">
        <is>
          <t>Gestor/a Familiar Eje (Apoyo Familiar SSyOO Porvenir–Magallanes)</t>
        </is>
      </c>
      <c r="D17" s="6" t="inlineStr">
        <is>
          <t>17</t>
        </is>
      </c>
      <c r="E17" s="6" t="inlineStr">
        <is>
          <t>Ejecutor</t>
        </is>
      </c>
      <c r="F17" s="10" t="inlineStr">
        <is>
          <t>SUSPENDIDA (C.12)</t>
        </is>
      </c>
      <c r="G17" s="6" t="inlineStr">
        <is>
          <t>CONDICIONADA</t>
        </is>
      </c>
      <c r="H17" s="6" t="inlineStr">
        <is>
          <t>2027 / post-Circular 12</t>
        </is>
      </c>
      <c r="I17" s="8" t="n">
        <v>23606</v>
      </c>
      <c r="J17" s="6" t="inlineStr">
        <is>
          <t>No marcada para proveer en corte may-2026; reevaluar al levantarse las restricciones o vía convenio de programa.</t>
        </is>
      </c>
    </row>
    <row r="18">
      <c r="A18" s="6" t="n">
        <v>14</v>
      </c>
      <c r="B18" s="6" t="inlineStr">
        <is>
          <t>O'Higgins</t>
        </is>
      </c>
      <c r="C18" s="6" t="inlineStr">
        <is>
          <t>Director/a Regional</t>
        </is>
      </c>
      <c r="D18" s="6" t="inlineStr">
        <is>
          <t>4</t>
        </is>
      </c>
      <c r="E18" s="6" t="inlineStr">
        <is>
          <t>Conducción</t>
        </is>
      </c>
      <c r="F18" s="7" t="inlineStr">
        <is>
          <t>POR REGULARIZAR</t>
        </is>
      </c>
      <c r="G18" s="6" t="inlineStr">
        <is>
          <t>ALTA</t>
        </is>
      </c>
      <c r="H18" s="6" t="inlineStr">
        <is>
          <t>T3-2026</t>
        </is>
      </c>
      <c r="I18" s="8" t="n">
        <v>0</v>
      </c>
      <c r="J18" s="6" t="inlineStr">
        <is>
          <t>Función ya ejercida vía funciones directivas (Ley 21.796): registro nominal en RRHH sin costo incremental. Acción recomendada por el Informe Integral DO.</t>
        </is>
      </c>
    </row>
    <row r="19">
      <c r="A19" s="6" t="n">
        <v>15</v>
      </c>
      <c r="B19" s="6" t="inlineStr">
        <is>
          <t>Maule</t>
        </is>
      </c>
      <c r="C19" s="6" t="inlineStr">
        <is>
          <t>Director/a Regional</t>
        </is>
      </c>
      <c r="D19" s="6" t="inlineStr">
        <is>
          <t>4</t>
        </is>
      </c>
      <c r="E19" s="6" t="inlineStr">
        <is>
          <t>Conducción</t>
        </is>
      </c>
      <c r="F19" s="7" t="inlineStr">
        <is>
          <t>POR REGULARIZAR</t>
        </is>
      </c>
      <c r="G19" s="6" t="inlineStr">
        <is>
          <t>ALTA</t>
        </is>
      </c>
      <c r="H19" s="6" t="inlineStr">
        <is>
          <t>T3-2026</t>
        </is>
      </c>
      <c r="I19" s="8" t="n">
        <v>0</v>
      </c>
      <c r="J19" s="6" t="inlineStr">
        <is>
          <t>Función ya ejercida vía funciones directivas (Ley 21.796): registro nominal en RRHH sin costo incremental. Acción recomendada por el Informe Integral DO.</t>
        </is>
      </c>
    </row>
    <row r="20">
      <c r="A20" s="6" t="n">
        <v>16</v>
      </c>
      <c r="B20" s="6" t="inlineStr">
        <is>
          <t>Biobío</t>
        </is>
      </c>
      <c r="C20" s="6" t="inlineStr">
        <is>
          <t>Director/a Regional</t>
        </is>
      </c>
      <c r="D20" s="6" t="inlineStr">
        <is>
          <t>4</t>
        </is>
      </c>
      <c r="E20" s="6" t="inlineStr">
        <is>
          <t>Conducción</t>
        </is>
      </c>
      <c r="F20" s="7" t="inlineStr">
        <is>
          <t>POR REGULARIZAR</t>
        </is>
      </c>
      <c r="G20" s="6" t="inlineStr">
        <is>
          <t>ALTA</t>
        </is>
      </c>
      <c r="H20" s="6" t="inlineStr">
        <is>
          <t>T3-2026</t>
        </is>
      </c>
      <c r="I20" s="8" t="n">
        <v>0</v>
      </c>
      <c r="J20" s="6" t="inlineStr">
        <is>
          <t>Función ya ejercida vía funciones directivas (Ley 21.796): registro nominal en RRHH sin costo incremental. Acción recomendada por el Informe Integral DO.</t>
        </is>
      </c>
    </row>
    <row r="21">
      <c r="A21" s="6" t="n">
        <v>17</v>
      </c>
      <c r="B21" s="6" t="inlineStr">
        <is>
          <t>Araucanía</t>
        </is>
      </c>
      <c r="C21" s="6" t="inlineStr">
        <is>
          <t>Director/a Regional</t>
        </is>
      </c>
      <c r="D21" s="6" t="inlineStr">
        <is>
          <t>4</t>
        </is>
      </c>
      <c r="E21" s="6" t="inlineStr">
        <is>
          <t>Conducción</t>
        </is>
      </c>
      <c r="F21" s="7" t="inlineStr">
        <is>
          <t>POR REGULARIZAR</t>
        </is>
      </c>
      <c r="G21" s="6" t="inlineStr">
        <is>
          <t>ALTA</t>
        </is>
      </c>
      <c r="H21" s="6" t="inlineStr">
        <is>
          <t>T3-2026</t>
        </is>
      </c>
      <c r="I21" s="8" t="n">
        <v>0</v>
      </c>
      <c r="J21" s="6" t="inlineStr">
        <is>
          <t>Función ya ejercida vía funciones directivas (Ley 21.796): registro nominal en RRHH sin costo incremental. Acción recomendada por el Informe Integral DO.</t>
        </is>
      </c>
    </row>
    <row r="22">
      <c r="A22" s="6" t="n">
        <v>18</v>
      </c>
      <c r="B22" s="6" t="inlineStr">
        <is>
          <t>Araucanía</t>
        </is>
      </c>
      <c r="C22" s="6" t="inlineStr">
        <is>
          <t>Encargado/a de Control de Gestión Regional</t>
        </is>
      </c>
      <c r="D22" s="6" t="inlineStr">
        <is>
          <t>12</t>
        </is>
      </c>
      <c r="E22" s="6" t="inlineStr">
        <is>
          <t>Jefatura/Enc.</t>
        </is>
      </c>
      <c r="F22" s="10" t="inlineStr">
        <is>
          <t>SUSPENDIDA (C.12)</t>
        </is>
      </c>
      <c r="G22" s="6" t="inlineStr">
        <is>
          <t>CONDICIONADA</t>
        </is>
      </c>
      <c r="H22" s="6" t="inlineStr">
        <is>
          <t>2027 / post-Circular 12</t>
        </is>
      </c>
      <c r="I22" s="8" t="n">
        <v>41311</v>
      </c>
      <c r="J22" s="6" t="inlineStr">
        <is>
          <t>No marcada para proveer en corte may-2026; reevaluar al levantarse las restricciones o vía convenio de programa.</t>
        </is>
      </c>
    </row>
    <row r="23">
      <c r="A23" s="6" t="n">
        <v>19</v>
      </c>
      <c r="B23" s="6" t="inlineStr">
        <is>
          <t>Araucanía</t>
        </is>
      </c>
      <c r="C23" s="6" t="inlineStr">
        <is>
          <t>Apoyo Provincial Programas SSyOO</t>
        </is>
      </c>
      <c r="D23" s="6" t="inlineStr">
        <is>
          <t>17</t>
        </is>
      </c>
      <c r="E23" s="6" t="inlineStr">
        <is>
          <t>Soporte</t>
        </is>
      </c>
      <c r="F23" s="10" t="inlineStr">
        <is>
          <t>SUSPENDIDA (C.12)</t>
        </is>
      </c>
      <c r="G23" s="6" t="inlineStr">
        <is>
          <t>CONDICIONADA</t>
        </is>
      </c>
      <c r="H23" s="6" t="inlineStr">
        <is>
          <t>2027 / post-Circular 12</t>
        </is>
      </c>
      <c r="I23" s="8" t="n">
        <v>29508</v>
      </c>
      <c r="J23" s="6" t="inlineStr">
        <is>
          <t>No marcada para proveer en corte may-2026; reevaluar al levantarse las restricciones o vía convenio de programa.</t>
        </is>
      </c>
    </row>
    <row r="24">
      <c r="A24" s="6" t="n">
        <v>20</v>
      </c>
      <c r="B24" s="6" t="inlineStr">
        <is>
          <t>Araucanía</t>
        </is>
      </c>
      <c r="C24" s="6" t="inlineStr">
        <is>
          <t>Jefe/a Depto. Gestión de Programas Regional</t>
        </is>
      </c>
      <c r="D24" s="6" t="inlineStr">
        <is>
          <t>8</t>
        </is>
      </c>
      <c r="E24" s="6" t="inlineStr">
        <is>
          <t>Jefatura/Enc.</t>
        </is>
      </c>
      <c r="F24" s="10" t="inlineStr">
        <is>
          <t>SUSPENDIDA (C.12)</t>
        </is>
      </c>
      <c r="G24" s="6" t="inlineStr">
        <is>
          <t>CONDICIONADA</t>
        </is>
      </c>
      <c r="H24" s="6" t="inlineStr">
        <is>
          <t>2027 / post-Circular 12</t>
        </is>
      </c>
      <c r="I24" s="8" t="n">
        <v>41311</v>
      </c>
      <c r="J24" s="6" t="inlineStr">
        <is>
          <t>No marcada para proveer en corte may-2026; reevaluar al levantarse las restricciones o vía convenio de programa.</t>
        </is>
      </c>
    </row>
    <row r="25">
      <c r="A25" s="6" t="n">
        <v>21</v>
      </c>
      <c r="B25" s="6" t="inlineStr">
        <is>
          <t>Araucanía</t>
        </is>
      </c>
      <c r="C25" s="6" t="inlineStr">
        <is>
          <t>Asistente Administrativo (Personas)</t>
        </is>
      </c>
      <c r="D25" s="6" t="inlineStr">
        <is>
          <t>18</t>
        </is>
      </c>
      <c r="E25" s="6" t="inlineStr">
        <is>
          <t>Soporte</t>
        </is>
      </c>
      <c r="F25" s="9" t="inlineStr">
        <is>
          <t>POR PROVEER</t>
        </is>
      </c>
      <c r="G25" s="6" t="inlineStr">
        <is>
          <t>ALTA</t>
        </is>
      </c>
      <c r="H25" s="6" t="inlineStr">
        <is>
          <t>Jul–Ago 2026</t>
        </is>
      </c>
      <c r="I25" s="8" t="n">
        <v>29508</v>
      </c>
      <c r="J25" s="6" t="inlineStr">
        <is>
          <t>Región prioritaria del plan de provisión (Hoja de Ruta DO, Eje 3: Ñuble 7, Araucanía 6, RM 6 vacantes).</t>
        </is>
      </c>
    </row>
    <row r="26">
      <c r="A26" s="6" t="n">
        <v>22</v>
      </c>
      <c r="B26" s="6" t="inlineStr">
        <is>
          <t>Araucanía</t>
        </is>
      </c>
      <c r="C26" s="6" t="inlineStr">
        <is>
          <t>Asistente Jurídico Regional</t>
        </is>
      </c>
      <c r="D26" s="6" t="inlineStr">
        <is>
          <t>11</t>
        </is>
      </c>
      <c r="E26" s="6" t="inlineStr">
        <is>
          <t>Soporte</t>
        </is>
      </c>
      <c r="F26" s="10" t="inlineStr">
        <is>
          <t>SUSPENDIDA (C.12)</t>
        </is>
      </c>
      <c r="G26" s="6" t="inlineStr">
        <is>
          <t>CONDICIONADA</t>
        </is>
      </c>
      <c r="H26" s="6" t="inlineStr">
        <is>
          <t>2027 / post-Circular 12</t>
        </is>
      </c>
      <c r="I26" s="8" t="n">
        <v>29508</v>
      </c>
      <c r="J26" s="6" t="inlineStr">
        <is>
          <t>No marcada para proveer en corte may-2026; reevaluar al levantarse las restricciones o vía convenio de programa.</t>
        </is>
      </c>
    </row>
    <row r="27">
      <c r="A27" s="6" t="n">
        <v>23</v>
      </c>
      <c r="B27" s="6" t="inlineStr">
        <is>
          <t>Los Lagos</t>
        </is>
      </c>
      <c r="C27" s="6" t="inlineStr">
        <is>
          <t>Director/a Regional</t>
        </is>
      </c>
      <c r="D27" s="6" t="inlineStr">
        <is>
          <t>4</t>
        </is>
      </c>
      <c r="E27" s="6" t="inlineStr">
        <is>
          <t>Conducción</t>
        </is>
      </c>
      <c r="F27" s="7" t="inlineStr">
        <is>
          <t>POR REGULARIZAR</t>
        </is>
      </c>
      <c r="G27" s="6" t="inlineStr">
        <is>
          <t>ALTA</t>
        </is>
      </c>
      <c r="H27" s="6" t="inlineStr">
        <is>
          <t>T3-2026</t>
        </is>
      </c>
      <c r="I27" s="8" t="n">
        <v>0</v>
      </c>
      <c r="J27" s="6" t="inlineStr">
        <is>
          <t>Función ya ejercida vía funciones directivas (Ley 21.796): registro nominal en RRHH sin costo incremental. Acción recomendada por el Informe Integral DO.</t>
        </is>
      </c>
    </row>
    <row r="28">
      <c r="A28" s="6" t="n">
        <v>24</v>
      </c>
      <c r="B28" s="6" t="inlineStr">
        <is>
          <t>Los Lagos</t>
        </is>
      </c>
      <c r="C28" s="6" t="inlineStr">
        <is>
          <t>Encargado/a de Personas Regional</t>
        </is>
      </c>
      <c r="D28" s="6" t="inlineStr">
        <is>
          <t>10</t>
        </is>
      </c>
      <c r="E28" s="6" t="inlineStr">
        <is>
          <t>Jefatura/Enc.</t>
        </is>
      </c>
      <c r="F28" s="10" t="inlineStr">
        <is>
          <t>SUSPENDIDA (C.12)</t>
        </is>
      </c>
      <c r="G28" s="6" t="inlineStr">
        <is>
          <t>CONDICIONADA</t>
        </is>
      </c>
      <c r="H28" s="6" t="inlineStr">
        <is>
          <t>2027 / post-Circular 12</t>
        </is>
      </c>
      <c r="I28" s="8" t="n">
        <v>41311</v>
      </c>
      <c r="J28" s="6" t="inlineStr">
        <is>
          <t>No marcada para proveer en corte may-2026; reevaluar al levantarse las restricciones o vía convenio de programa.</t>
        </is>
      </c>
    </row>
    <row r="29">
      <c r="A29" s="6" t="n">
        <v>25</v>
      </c>
      <c r="B29" s="6" t="inlineStr">
        <is>
          <t>Los Lagos</t>
        </is>
      </c>
      <c r="C29" s="6" t="inlineStr">
        <is>
          <t>Contador/a Regional</t>
        </is>
      </c>
      <c r="D29" s="6" t="inlineStr">
        <is>
          <t>10</t>
        </is>
      </c>
      <c r="E29" s="6" t="inlineStr">
        <is>
          <t>Soporte</t>
        </is>
      </c>
      <c r="F29" s="10" t="inlineStr">
        <is>
          <t>SUSPENDIDA (C.12)</t>
        </is>
      </c>
      <c r="G29" s="6" t="inlineStr">
        <is>
          <t>CONDICIONADA</t>
        </is>
      </c>
      <c r="H29" s="6" t="inlineStr">
        <is>
          <t>2027 / post-Circular 12</t>
        </is>
      </c>
      <c r="I29" s="8" t="n">
        <v>29508</v>
      </c>
      <c r="J29" s="6" t="inlineStr">
        <is>
          <t>No marcada para proveer en corte may-2026; reevaluar al levantarse las restricciones o vía convenio de programa.</t>
        </is>
      </c>
    </row>
    <row r="30">
      <c r="A30" s="6" t="n">
        <v>26</v>
      </c>
      <c r="B30" s="6" t="inlineStr">
        <is>
          <t>Los Lagos</t>
        </is>
      </c>
      <c r="C30" s="6" t="inlineStr">
        <is>
          <t>Encargado/a Regional de Programas</t>
        </is>
      </c>
      <c r="D30" s="6" t="inlineStr">
        <is>
          <t>12</t>
        </is>
      </c>
      <c r="E30" s="6" t="inlineStr">
        <is>
          <t>Jefatura/Enc.</t>
        </is>
      </c>
      <c r="F30" s="9" t="inlineStr">
        <is>
          <t>POR PROVEER</t>
        </is>
      </c>
      <c r="G30" s="6" t="inlineStr">
        <is>
          <t>MEDIA</t>
        </is>
      </c>
      <c r="H30" s="6" t="inlineStr">
        <is>
          <t>T4-2026</t>
        </is>
      </c>
      <c r="I30" s="8" t="n">
        <v>41311</v>
      </c>
      <c r="J30" s="6" t="inlineStr">
        <is>
          <t>Provisión programada segunda mitad 2026, sujeta a vía Circular N°12 (art. 7d / convenio).</t>
        </is>
      </c>
    </row>
    <row r="31">
      <c r="A31" s="6" t="n">
        <v>27</v>
      </c>
      <c r="B31" s="6" t="inlineStr">
        <is>
          <t>Los Lagos</t>
        </is>
      </c>
      <c r="C31" s="6" t="inlineStr">
        <is>
          <t>Apoyo Provincial SSyOO (movilidad Araucanía→Los Lagos)</t>
        </is>
      </c>
      <c r="D31" s="6" t="inlineStr">
        <is>
          <t>17</t>
        </is>
      </c>
      <c r="E31" s="6" t="inlineStr">
        <is>
          <t>Ejecutor</t>
        </is>
      </c>
      <c r="F31" s="9" t="inlineStr">
        <is>
          <t>POR PROVEER</t>
        </is>
      </c>
      <c r="G31" s="6" t="inlineStr">
        <is>
          <t>MEDIA</t>
        </is>
      </c>
      <c r="H31" s="6" t="inlineStr">
        <is>
          <t>T4-2026</t>
        </is>
      </c>
      <c r="I31" s="8" t="n">
        <v>23606</v>
      </c>
      <c r="J31" s="6" t="inlineStr">
        <is>
          <t>Provisión programada segunda mitad 2026, sujeta a vía Circular N°12 (art. 7d / convenio).</t>
        </is>
      </c>
    </row>
    <row r="32">
      <c r="A32" s="6" t="n">
        <v>28</v>
      </c>
      <c r="B32" s="6" t="inlineStr">
        <is>
          <t>Los Lagos</t>
        </is>
      </c>
      <c r="C32" s="6" t="inlineStr">
        <is>
          <t>Gestor/a Familiar Programa Eje</t>
        </is>
      </c>
      <c r="D32" s="6" t="inlineStr">
        <is>
          <t>17</t>
        </is>
      </c>
      <c r="E32" s="6" t="inlineStr">
        <is>
          <t>Ejecutor</t>
        </is>
      </c>
      <c r="F32" s="9" t="inlineStr">
        <is>
          <t>POR PROVEER</t>
        </is>
      </c>
      <c r="G32" s="6" t="inlineStr">
        <is>
          <t>MEDIA</t>
        </is>
      </c>
      <c r="H32" s="6" t="inlineStr">
        <is>
          <t>T4-2026</t>
        </is>
      </c>
      <c r="I32" s="8" t="n">
        <v>23606</v>
      </c>
      <c r="J32" s="6" t="inlineStr">
        <is>
          <t>Provisión programada segunda mitad 2026, sujeta a vía Circular N°12 (art. 7d / convenio).</t>
        </is>
      </c>
    </row>
    <row r="33">
      <c r="A33" s="6" t="n">
        <v>29</v>
      </c>
      <c r="B33" s="6" t="inlineStr">
        <is>
          <t>Los Lagos</t>
        </is>
      </c>
      <c r="C33" s="6" t="inlineStr">
        <is>
          <t>Apoyo Técnico Regional SSyOO</t>
        </is>
      </c>
      <c r="D33" s="6" t="inlineStr">
        <is>
          <t>16</t>
        </is>
      </c>
      <c r="E33" s="6" t="inlineStr">
        <is>
          <t>Soporte</t>
        </is>
      </c>
      <c r="F33" s="10" t="inlineStr">
        <is>
          <t>SUSPENDIDA (C.12)</t>
        </is>
      </c>
      <c r="G33" s="6" t="inlineStr">
        <is>
          <t>CONDICIONADA</t>
        </is>
      </c>
      <c r="H33" s="6" t="inlineStr">
        <is>
          <t>2027 / post-Circular 12</t>
        </is>
      </c>
      <c r="I33" s="8" t="n">
        <v>29508</v>
      </c>
      <c r="J33" s="6" t="inlineStr">
        <is>
          <t>No marcada para proveer en corte may-2026; reevaluar al levantarse las restricciones o vía convenio de programa.</t>
        </is>
      </c>
    </row>
    <row r="34">
      <c r="A34" s="6" t="n">
        <v>30</v>
      </c>
      <c r="B34" s="6" t="inlineStr">
        <is>
          <t>Aysén</t>
        </is>
      </c>
      <c r="C34" s="6" t="inlineStr">
        <is>
          <t>Director/a Regional</t>
        </is>
      </c>
      <c r="D34" s="6" t="inlineStr">
        <is>
          <t>4</t>
        </is>
      </c>
      <c r="E34" s="6" t="inlineStr">
        <is>
          <t>Conducción</t>
        </is>
      </c>
      <c r="F34" s="7" t="inlineStr">
        <is>
          <t>POR REGULARIZAR</t>
        </is>
      </c>
      <c r="G34" s="6" t="inlineStr">
        <is>
          <t>ALTA</t>
        </is>
      </c>
      <c r="H34" s="6" t="inlineStr">
        <is>
          <t>T3-2026</t>
        </is>
      </c>
      <c r="I34" s="8" t="n">
        <v>0</v>
      </c>
      <c r="J34" s="6" t="inlineStr">
        <is>
          <t>Función ya ejercida vía funciones directivas (Ley 21.796): registro nominal en RRHH sin costo incremental. Acción recomendada por el Informe Integral DO.</t>
        </is>
      </c>
    </row>
    <row r="35">
      <c r="A35" s="6" t="n">
        <v>31</v>
      </c>
      <c r="B35" s="6" t="inlineStr">
        <is>
          <t>Aysén</t>
        </is>
      </c>
      <c r="C35" s="6" t="inlineStr">
        <is>
          <t>Agente de Desarrollo Local</t>
        </is>
      </c>
      <c r="D35" s="6" t="inlineStr">
        <is>
          <t>19</t>
        </is>
      </c>
      <c r="E35" s="6" t="inlineStr">
        <is>
          <t>Ejecutor</t>
        </is>
      </c>
      <c r="F35" s="10" t="inlineStr">
        <is>
          <t>SUSPENDIDA (C.12)</t>
        </is>
      </c>
      <c r="G35" s="6" t="inlineStr">
        <is>
          <t>CONDICIONADA</t>
        </is>
      </c>
      <c r="H35" s="6" t="inlineStr">
        <is>
          <t>2027 / post-Circular 12</t>
        </is>
      </c>
      <c r="I35" s="8" t="n">
        <v>23606</v>
      </c>
      <c r="J35" s="6" t="inlineStr">
        <is>
          <t>No marcada para proveer en corte may-2026; reevaluar al levantarse las restricciones o vía convenio de programa.</t>
        </is>
      </c>
    </row>
    <row r="36">
      <c r="A36" s="6" t="n">
        <v>32</v>
      </c>
      <c r="B36" s="6" t="inlineStr">
        <is>
          <t>Aysén</t>
        </is>
      </c>
      <c r="C36" s="6" t="inlineStr">
        <is>
          <t>Coordinador/a Alianzas Público-Privadas y Territorio</t>
        </is>
      </c>
      <c r="D36" s="6" t="inlineStr">
        <is>
          <t>17</t>
        </is>
      </c>
      <c r="E36" s="6" t="inlineStr">
        <is>
          <t>Soporte</t>
        </is>
      </c>
      <c r="F36" s="10" t="inlineStr">
        <is>
          <t>SUSPENDIDA (C.12)</t>
        </is>
      </c>
      <c r="G36" s="6" t="inlineStr">
        <is>
          <t>CONDICIONADA</t>
        </is>
      </c>
      <c r="H36" s="6" t="inlineStr">
        <is>
          <t>2027 / post-Circular 12</t>
        </is>
      </c>
      <c r="I36" s="8" t="n">
        <v>29508</v>
      </c>
      <c r="J36" s="6" t="inlineStr">
        <is>
          <t>No marcada para proveer en corte may-2026; reevaluar al levantarse las restricciones o vía convenio de programa.</t>
        </is>
      </c>
    </row>
    <row r="37">
      <c r="A37" s="6" t="n">
        <v>33</v>
      </c>
      <c r="B37" s="6" t="inlineStr">
        <is>
          <t>Aysén</t>
        </is>
      </c>
      <c r="C37" s="6" t="inlineStr">
        <is>
          <t>Gestor/a Familiar Eje (evaluar transformar a Prof. Rendiciones)</t>
        </is>
      </c>
      <c r="D37" s="6" t="inlineStr">
        <is>
          <t>17</t>
        </is>
      </c>
      <c r="E37" s="6" t="inlineStr">
        <is>
          <t>Ejecutor</t>
        </is>
      </c>
      <c r="F37" s="9" t="inlineStr">
        <is>
          <t>POR PROVEER</t>
        </is>
      </c>
      <c r="G37" s="6" t="inlineStr">
        <is>
          <t>MEDIA</t>
        </is>
      </c>
      <c r="H37" s="6" t="inlineStr">
        <is>
          <t>T4-2026</t>
        </is>
      </c>
      <c r="I37" s="8" t="n">
        <v>23606</v>
      </c>
      <c r="J37" s="6" t="inlineStr">
        <is>
          <t>Provisión programada segunda mitad 2026, sujeta a vía Circular N°12 (art. 7d / convenio).</t>
        </is>
      </c>
    </row>
    <row r="38">
      <c r="A38" s="6" t="n">
        <v>34</v>
      </c>
      <c r="B38" s="6" t="inlineStr">
        <is>
          <t>Magallanes</t>
        </is>
      </c>
      <c r="C38" s="6" t="inlineStr">
        <is>
          <t>Director/a Regional</t>
        </is>
      </c>
      <c r="D38" s="6" t="inlineStr">
        <is>
          <t>4</t>
        </is>
      </c>
      <c r="E38" s="6" t="inlineStr">
        <is>
          <t>Conducción</t>
        </is>
      </c>
      <c r="F38" s="7" t="inlineStr">
        <is>
          <t>POR REGULARIZAR</t>
        </is>
      </c>
      <c r="G38" s="6" t="inlineStr">
        <is>
          <t>ALTA</t>
        </is>
      </c>
      <c r="H38" s="6" t="inlineStr">
        <is>
          <t>T3-2026</t>
        </is>
      </c>
      <c r="I38" s="8" t="n">
        <v>0</v>
      </c>
      <c r="J38" s="6" t="inlineStr">
        <is>
          <t>Función ya ejercida vía funciones directivas (Ley 21.796): registro nominal en RRHH sin costo incremental. Acción recomendada por el Informe Integral DO.</t>
        </is>
      </c>
    </row>
    <row r="39">
      <c r="A39" s="6" t="n">
        <v>35</v>
      </c>
      <c r="B39" s="6" t="inlineStr">
        <is>
          <t>DR Metropolitana</t>
        </is>
      </c>
      <c r="C39" s="6" t="inlineStr">
        <is>
          <t>Director/a Regional</t>
        </is>
      </c>
      <c r="D39" s="6" t="inlineStr">
        <is>
          <t>4</t>
        </is>
      </c>
      <c r="E39" s="6" t="inlineStr">
        <is>
          <t>Conducción</t>
        </is>
      </c>
      <c r="F39" s="7" t="inlineStr">
        <is>
          <t>POR REGULARIZAR</t>
        </is>
      </c>
      <c r="G39" s="6" t="inlineStr">
        <is>
          <t>ALTA</t>
        </is>
      </c>
      <c r="H39" s="6" t="inlineStr">
        <is>
          <t>T3-2026</t>
        </is>
      </c>
      <c r="I39" s="8" t="n">
        <v>0</v>
      </c>
      <c r="J39" s="6" t="inlineStr">
        <is>
          <t>Función ya ejercida vía funciones directivas (Ley 21.796): registro nominal en RRHH sin costo incremental. Acción recomendada por el Informe Integral DO.</t>
        </is>
      </c>
    </row>
    <row r="40">
      <c r="A40" s="6" t="n">
        <v>36</v>
      </c>
      <c r="B40" s="6" t="inlineStr">
        <is>
          <t>DR Metropolitana</t>
        </is>
      </c>
      <c r="C40" s="6" t="inlineStr">
        <is>
          <t>Asesor/a Jurídico Regional</t>
        </is>
      </c>
      <c r="D40" s="6" t="inlineStr">
        <is>
          <t>8</t>
        </is>
      </c>
      <c r="E40" s="6" t="inlineStr">
        <is>
          <t>Soporte</t>
        </is>
      </c>
      <c r="F40" s="9" t="inlineStr">
        <is>
          <t>POR PROVEER</t>
        </is>
      </c>
      <c r="G40" s="6" t="inlineStr">
        <is>
          <t>ALTA</t>
        </is>
      </c>
      <c r="H40" s="6" t="inlineStr">
        <is>
          <t>Jul–Ago 2026</t>
        </is>
      </c>
      <c r="I40" s="8" t="n">
        <v>29508</v>
      </c>
      <c r="J40" s="6" t="inlineStr">
        <is>
          <t>Región prioritaria del plan de provisión (Hoja de Ruta DO, Eje 3: Ñuble 7, Araucanía 6, RM 6 vacantes).</t>
        </is>
      </c>
    </row>
    <row r="41">
      <c r="A41" s="6" t="n">
        <v>37</v>
      </c>
      <c r="B41" s="6" t="inlineStr">
        <is>
          <t>DR Metropolitana</t>
        </is>
      </c>
      <c r="C41" s="6" t="inlineStr">
        <is>
          <t>Profesional de Gestión y Análisis</t>
        </is>
      </c>
      <c r="D41" s="6" t="inlineStr">
        <is>
          <t>11</t>
        </is>
      </c>
      <c r="E41" s="6" t="inlineStr">
        <is>
          <t>Soporte</t>
        </is>
      </c>
      <c r="F41" s="9" t="inlineStr">
        <is>
          <t>POR PROVEER</t>
        </is>
      </c>
      <c r="G41" s="6" t="inlineStr">
        <is>
          <t>ALTA</t>
        </is>
      </c>
      <c r="H41" s="6" t="inlineStr">
        <is>
          <t>Jul–Ago 2026</t>
        </is>
      </c>
      <c r="I41" s="8" t="n">
        <v>29508</v>
      </c>
      <c r="J41" s="6" t="inlineStr">
        <is>
          <t>Región prioritaria del plan de provisión (Hoja de Ruta DO, Eje 3: Ñuble 7, Araucanía 6, RM 6 vacantes).</t>
        </is>
      </c>
    </row>
    <row r="42">
      <c r="A42" s="6" t="n">
        <v>38</v>
      </c>
      <c r="B42" s="6" t="inlineStr">
        <is>
          <t>DR Metropolitana</t>
        </is>
      </c>
      <c r="C42" s="6" t="inlineStr">
        <is>
          <t>Profesional Regional de Programa</t>
        </is>
      </c>
      <c r="D42" s="6" t="inlineStr">
        <is>
          <t>13</t>
        </is>
      </c>
      <c r="E42" s="6" t="inlineStr">
        <is>
          <t>Soporte</t>
        </is>
      </c>
      <c r="F42" s="10" t="inlineStr">
        <is>
          <t>SUSPENDIDA (C.12)</t>
        </is>
      </c>
      <c r="G42" s="6" t="inlineStr">
        <is>
          <t>CONDICIONADA</t>
        </is>
      </c>
      <c r="H42" s="6" t="inlineStr">
        <is>
          <t>2027 / post-Circular 12</t>
        </is>
      </c>
      <c r="I42" s="8" t="n">
        <v>29508</v>
      </c>
      <c r="J42" s="6" t="inlineStr">
        <is>
          <t>No marcada para proveer en corte may-2026; reevaluar al levantarse las restricciones o vía convenio de programa.</t>
        </is>
      </c>
    </row>
    <row r="43">
      <c r="A43" s="6" t="n">
        <v>39</v>
      </c>
      <c r="B43" s="6" t="inlineStr">
        <is>
          <t>DR Metropolitana</t>
        </is>
      </c>
      <c r="C43" s="6" t="inlineStr">
        <is>
          <t>Asistente Administrativo Transversal</t>
        </is>
      </c>
      <c r="D43" s="6" t="inlineStr">
        <is>
          <t>15</t>
        </is>
      </c>
      <c r="E43" s="6" t="inlineStr">
        <is>
          <t>Soporte</t>
        </is>
      </c>
      <c r="F43" s="10" t="inlineStr">
        <is>
          <t>SUSPENDIDA (C.12)</t>
        </is>
      </c>
      <c r="G43" s="6" t="inlineStr">
        <is>
          <t>CONDICIONADA</t>
        </is>
      </c>
      <c r="H43" s="6" t="inlineStr">
        <is>
          <t>2027 / post-Circular 12</t>
        </is>
      </c>
      <c r="I43" s="8" t="n">
        <v>29508</v>
      </c>
      <c r="J43" s="6" t="inlineStr">
        <is>
          <t>No marcada para proveer en corte may-2026; reevaluar al levantarse las restricciones o vía convenio de programa.</t>
        </is>
      </c>
    </row>
    <row r="44">
      <c r="A44" s="6" t="n">
        <v>40</v>
      </c>
      <c r="B44" s="6" t="inlineStr">
        <is>
          <t>DR Metropolitana</t>
        </is>
      </c>
      <c r="C44" s="6" t="inlineStr">
        <is>
          <t>Gestor/a Familiar Programa Eje</t>
        </is>
      </c>
      <c r="D44" s="6" t="inlineStr">
        <is>
          <t>17</t>
        </is>
      </c>
      <c r="E44" s="6" t="inlineStr">
        <is>
          <t>Ejecutor</t>
        </is>
      </c>
      <c r="F44" s="9" t="inlineStr">
        <is>
          <t>POR PROVEER</t>
        </is>
      </c>
      <c r="G44" s="6" t="inlineStr">
        <is>
          <t>ALTA</t>
        </is>
      </c>
      <c r="H44" s="6" t="inlineStr">
        <is>
          <t>Jul–Ago 2026</t>
        </is>
      </c>
      <c r="I44" s="8" t="n">
        <v>23606</v>
      </c>
      <c r="J44" s="6" t="inlineStr">
        <is>
          <t>Región prioritaria del plan de provisión (Hoja de Ruta DO, Eje 3: Ñuble 7, Araucanía 6, RM 6 vacantes).</t>
        </is>
      </c>
    </row>
    <row r="45">
      <c r="A45" s="6" t="n">
        <v>41</v>
      </c>
      <c r="B45" s="6" t="inlineStr">
        <is>
          <t>Los Ríos</t>
        </is>
      </c>
      <c r="C45" s="6" t="inlineStr">
        <is>
          <t>Director/a Regional</t>
        </is>
      </c>
      <c r="D45" s="6" t="inlineStr">
        <is>
          <t>4</t>
        </is>
      </c>
      <c r="E45" s="6" t="inlineStr">
        <is>
          <t>Conducción</t>
        </is>
      </c>
      <c r="F45" s="7" t="inlineStr">
        <is>
          <t>POR REGULARIZAR</t>
        </is>
      </c>
      <c r="G45" s="6" t="inlineStr">
        <is>
          <t>ALTA</t>
        </is>
      </c>
      <c r="H45" s="6" t="inlineStr">
        <is>
          <t>T3-2026</t>
        </is>
      </c>
      <c r="I45" s="8" t="n">
        <v>0</v>
      </c>
      <c r="J45" s="6" t="inlineStr">
        <is>
          <t>Función ya ejercida vía funciones directivas (Ley 21.796): registro nominal en RRHH sin costo incremental. Acción recomendada por el Informe Integral DO.</t>
        </is>
      </c>
    </row>
    <row r="46">
      <c r="A46" s="6" t="n">
        <v>42</v>
      </c>
      <c r="B46" s="6" t="inlineStr">
        <is>
          <t>Los Ríos</t>
        </is>
      </c>
      <c r="C46" s="6" t="inlineStr">
        <is>
          <t>Chofer Transversal</t>
        </is>
      </c>
      <c r="D46" s="6" t="inlineStr">
        <is>
          <t>18</t>
        </is>
      </c>
      <c r="E46" s="6" t="inlineStr">
        <is>
          <t>Soporte</t>
        </is>
      </c>
      <c r="F46" s="10" t="inlineStr">
        <is>
          <t>SUSPENDIDA (C.12)</t>
        </is>
      </c>
      <c r="G46" s="6" t="inlineStr">
        <is>
          <t>CONDICIONADA</t>
        </is>
      </c>
      <c r="H46" s="6" t="inlineStr">
        <is>
          <t>2027 / post-Circular 12</t>
        </is>
      </c>
      <c r="I46" s="8" t="n">
        <v>29508</v>
      </c>
      <c r="J46" s="6" t="inlineStr">
        <is>
          <t>No marcada para proveer en corte may-2026; reevaluar al levantarse las restricciones o vía convenio de programa.</t>
        </is>
      </c>
    </row>
    <row r="47">
      <c r="A47" s="6" t="n">
        <v>43</v>
      </c>
      <c r="B47" s="6" t="inlineStr">
        <is>
          <t>Los Ríos</t>
        </is>
      </c>
      <c r="C47" s="6" t="inlineStr">
        <is>
          <t>Profesional Regional de Rendiciones</t>
        </is>
      </c>
      <c r="D47" s="6" t="inlineStr">
        <is>
          <t>18</t>
        </is>
      </c>
      <c r="E47" s="6" t="inlineStr">
        <is>
          <t>Soporte</t>
        </is>
      </c>
      <c r="F47" s="9" t="inlineStr">
        <is>
          <t>POR PROVEER</t>
        </is>
      </c>
      <c r="G47" s="6" t="inlineStr">
        <is>
          <t>MEDIA</t>
        </is>
      </c>
      <c r="H47" s="6" t="inlineStr">
        <is>
          <t>T4-2026</t>
        </is>
      </c>
      <c r="I47" s="8" t="n">
        <v>29508</v>
      </c>
      <c r="J47" s="6" t="inlineStr">
        <is>
          <t>Provisión programada segunda mitad 2026, sujeta a vía Circular N°12 (art. 7d / convenio).</t>
        </is>
      </c>
    </row>
    <row r="48">
      <c r="A48" s="6" t="n">
        <v>44</v>
      </c>
      <c r="B48" s="6" t="inlineStr">
        <is>
          <t>Arica y Parinacota</t>
        </is>
      </c>
      <c r="C48" s="6" t="inlineStr">
        <is>
          <t>Director/a Regional</t>
        </is>
      </c>
      <c r="D48" s="6" t="inlineStr">
        <is>
          <t>4</t>
        </is>
      </c>
      <c r="E48" s="6" t="inlineStr">
        <is>
          <t>Conducción</t>
        </is>
      </c>
      <c r="F48" s="7" t="inlineStr">
        <is>
          <t>POR REGULARIZAR</t>
        </is>
      </c>
      <c r="G48" s="6" t="inlineStr">
        <is>
          <t>ALTA</t>
        </is>
      </c>
      <c r="H48" s="6" t="inlineStr">
        <is>
          <t>T3-2026</t>
        </is>
      </c>
      <c r="I48" s="8" t="n">
        <v>0</v>
      </c>
      <c r="J48" s="6" t="inlineStr">
        <is>
          <t>Función ya ejercida vía funciones directivas (Ley 21.796): registro nominal en RRHH sin costo incremental. Acción recomendada por el Informe Integral DO.</t>
        </is>
      </c>
    </row>
    <row r="49">
      <c r="A49" s="6" t="n">
        <v>45</v>
      </c>
      <c r="B49" s="6" t="inlineStr">
        <is>
          <t>Arica y Parinacota</t>
        </is>
      </c>
      <c r="C49" s="6" t="inlineStr">
        <is>
          <t>Coordinador/a Alianzas Público-Privadas y Territorio</t>
        </is>
      </c>
      <c r="D49" s="6" t="inlineStr">
        <is>
          <t>16</t>
        </is>
      </c>
      <c r="E49" s="6" t="inlineStr">
        <is>
          <t>Soporte</t>
        </is>
      </c>
      <c r="F49" s="10" t="inlineStr">
        <is>
          <t>SUSPENDIDA (C.12)</t>
        </is>
      </c>
      <c r="G49" s="6" t="inlineStr">
        <is>
          <t>CONDICIONADA</t>
        </is>
      </c>
      <c r="H49" s="6" t="inlineStr">
        <is>
          <t>2027 / post-Circular 12</t>
        </is>
      </c>
      <c r="I49" s="8" t="n">
        <v>29508</v>
      </c>
      <c r="J49" s="6" t="inlineStr">
        <is>
          <t>No marcada para proveer en corte may-2026; reevaluar al levantarse las restricciones o vía convenio de programa.</t>
        </is>
      </c>
    </row>
    <row r="50">
      <c r="A50" s="6" t="n">
        <v>46</v>
      </c>
      <c r="B50" s="6" t="inlineStr">
        <is>
          <t>Arica y Parinacota</t>
        </is>
      </c>
      <c r="C50" s="6" t="inlineStr">
        <is>
          <t>Gestor/a Familiar Programa Eje</t>
        </is>
      </c>
      <c r="D50" s="6" t="inlineStr">
        <is>
          <t>18</t>
        </is>
      </c>
      <c r="E50" s="6" t="inlineStr">
        <is>
          <t>Ejecutor</t>
        </is>
      </c>
      <c r="F50" s="10" t="inlineStr">
        <is>
          <t>SUSPENDIDA (C.12)</t>
        </is>
      </c>
      <c r="G50" s="6" t="inlineStr">
        <is>
          <t>CONDICIONADA</t>
        </is>
      </c>
      <c r="H50" s="6" t="inlineStr">
        <is>
          <t>2027 / post-Circular 12</t>
        </is>
      </c>
      <c r="I50" s="8" t="n">
        <v>23606</v>
      </c>
      <c r="J50" s="6" t="inlineStr">
        <is>
          <t>No marcada para proveer en corte may-2026; reevaluar al levantarse las restricciones o vía convenio de programa.</t>
        </is>
      </c>
    </row>
    <row r="51">
      <c r="A51" s="6" t="n">
        <v>47</v>
      </c>
      <c r="B51" s="6" t="inlineStr">
        <is>
          <t>Ñuble</t>
        </is>
      </c>
      <c r="C51" s="6" t="inlineStr">
        <is>
          <t>Director/a Regional</t>
        </is>
      </c>
      <c r="D51" s="6" t="inlineStr">
        <is>
          <t>4</t>
        </is>
      </c>
      <c r="E51" s="6" t="inlineStr">
        <is>
          <t>Conducción</t>
        </is>
      </c>
      <c r="F51" s="7" t="inlineStr">
        <is>
          <t>POR REGULARIZAR</t>
        </is>
      </c>
      <c r="G51" s="6" t="inlineStr">
        <is>
          <t>ALTA</t>
        </is>
      </c>
      <c r="H51" s="6" t="inlineStr">
        <is>
          <t>T3-2026</t>
        </is>
      </c>
      <c r="I51" s="8" t="n">
        <v>0</v>
      </c>
      <c r="J51" s="6" t="inlineStr">
        <is>
          <t>Función ya ejercida vía funciones directivas (Ley 21.796): registro nominal en RRHH sin costo incremental. Acción recomendada por el Informe Integral DO.</t>
        </is>
      </c>
    </row>
    <row r="52">
      <c r="A52" s="6" t="n">
        <v>48</v>
      </c>
      <c r="B52" s="6" t="inlineStr">
        <is>
          <t>Ñuble</t>
        </is>
      </c>
      <c r="C52" s="6" t="inlineStr">
        <is>
          <t>Encargado/a de Personas Regional</t>
        </is>
      </c>
      <c r="D52" s="6" t="inlineStr">
        <is>
          <t>12</t>
        </is>
      </c>
      <c r="E52" s="6" t="inlineStr">
        <is>
          <t>Jefatura/Enc.</t>
        </is>
      </c>
      <c r="F52" s="11" t="inlineStr">
        <is>
          <t>EN PROCESO</t>
        </is>
      </c>
      <c r="G52" s="6" t="inlineStr">
        <is>
          <t>ALTA</t>
        </is>
      </c>
      <c r="H52" s="6" t="inlineStr">
        <is>
          <t>Jul-2026</t>
        </is>
      </c>
      <c r="I52" s="8" t="n">
        <v>41311</v>
      </c>
      <c r="J52" s="6" t="inlineStr">
        <is>
          <t>Proceso retomado en junio 2026. Rol primer respondente Ley Karin; hoy cubierto fuera de perfil por administrativa transversal.</t>
        </is>
      </c>
    </row>
    <row r="53">
      <c r="A53" s="6" t="n">
        <v>49</v>
      </c>
      <c r="B53" s="6" t="inlineStr">
        <is>
          <t>Ñuble</t>
        </is>
      </c>
      <c r="C53" s="6" t="inlineStr">
        <is>
          <t>Encargado/a de Gestión Administrativa</t>
        </is>
      </c>
      <c r="D53" s="6" t="inlineStr">
        <is>
          <t>14</t>
        </is>
      </c>
      <c r="E53" s="6" t="inlineStr">
        <is>
          <t>Jefatura/Enc.</t>
        </is>
      </c>
      <c r="F53" s="10" t="inlineStr">
        <is>
          <t>SUSPENDIDA (C.12)</t>
        </is>
      </c>
      <c r="G53" s="6" t="inlineStr">
        <is>
          <t>CONDICIONADA</t>
        </is>
      </c>
      <c r="H53" s="6" t="inlineStr">
        <is>
          <t>2027 / post-Circular 12</t>
        </is>
      </c>
      <c r="I53" s="8" t="n">
        <v>41311</v>
      </c>
      <c r="J53" s="6" t="inlineStr">
        <is>
          <t>No marcada para proveer en corte may-2026; reevaluar al levantarse las restricciones o vía convenio de programa.</t>
        </is>
      </c>
    </row>
    <row r="54">
      <c r="A54" s="6" t="n">
        <v>50</v>
      </c>
      <c r="B54" s="6" t="inlineStr">
        <is>
          <t>Ñuble</t>
        </is>
      </c>
      <c r="C54" s="6" t="inlineStr">
        <is>
          <t>Analista Técnico Contable</t>
        </is>
      </c>
      <c r="D54" s="6" t="inlineStr">
        <is>
          <t>16</t>
        </is>
      </c>
      <c r="E54" s="6" t="inlineStr">
        <is>
          <t>Soporte</t>
        </is>
      </c>
      <c r="F54" s="9" t="inlineStr">
        <is>
          <t>POR PROVEER</t>
        </is>
      </c>
      <c r="G54" s="6" t="inlineStr">
        <is>
          <t>ALTA</t>
        </is>
      </c>
      <c r="H54" s="6" t="inlineStr">
        <is>
          <t>Jul–Ago 2026</t>
        </is>
      </c>
      <c r="I54" s="8" t="n">
        <v>29508</v>
      </c>
      <c r="J54" s="6" t="inlineStr">
        <is>
          <t>Región prioritaria del plan de provisión (Hoja de Ruta DO, Eje 3: Ñuble 7, Araucanía 6, RM 6 vacantes).</t>
        </is>
      </c>
    </row>
    <row r="55">
      <c r="A55" s="6" t="n">
        <v>51</v>
      </c>
      <c r="B55" s="6" t="inlineStr">
        <is>
          <t>Ñuble</t>
        </is>
      </c>
      <c r="C55" s="6" t="inlineStr">
        <is>
          <t>Apoyo Técnico Regional SSyOO</t>
        </is>
      </c>
      <c r="D55" s="6" t="inlineStr">
        <is>
          <t>17</t>
        </is>
      </c>
      <c r="E55" s="6" t="inlineStr">
        <is>
          <t>Soporte</t>
        </is>
      </c>
      <c r="F55" s="9" t="inlineStr">
        <is>
          <t>POR PROVEER</t>
        </is>
      </c>
      <c r="G55" s="6" t="inlineStr">
        <is>
          <t>ALTA</t>
        </is>
      </c>
      <c r="H55" s="6" t="inlineStr">
        <is>
          <t>Jul–Ago 2026</t>
        </is>
      </c>
      <c r="I55" s="8" t="n">
        <v>29508</v>
      </c>
      <c r="J55" s="6" t="inlineStr">
        <is>
          <t>Región prioritaria del plan de provisión (Hoja de Ruta DO, Eje 3: Ñuble 7, Araucanía 6, RM 6 vacantes).</t>
        </is>
      </c>
    </row>
    <row r="56">
      <c r="A56" s="6" t="n">
        <v>52</v>
      </c>
      <c r="B56" s="6" t="inlineStr">
        <is>
          <t>Ñuble</t>
        </is>
      </c>
      <c r="C56" s="6" t="inlineStr">
        <is>
          <t>Gestor/a Familiar Programa Eje</t>
        </is>
      </c>
      <c r="D56" s="6" t="inlineStr">
        <is>
          <t>18</t>
        </is>
      </c>
      <c r="E56" s="6" t="inlineStr">
        <is>
          <t>Ejecutor</t>
        </is>
      </c>
      <c r="F56" s="10" t="inlineStr">
        <is>
          <t>SUSPENDIDA (C.12)</t>
        </is>
      </c>
      <c r="G56" s="6" t="inlineStr">
        <is>
          <t>CONDICIONADA</t>
        </is>
      </c>
      <c r="H56" s="6" t="inlineStr">
        <is>
          <t>2027 / post-Circular 12</t>
        </is>
      </c>
      <c r="I56" s="8" t="n">
        <v>23606</v>
      </c>
      <c r="J56" s="6" t="inlineStr">
        <is>
          <t>No marcada para proveer en corte may-2026; reevaluar al levantarse las restricciones o vía convenio de programa.</t>
        </is>
      </c>
    </row>
    <row r="57">
      <c r="A57" s="6" t="n">
        <v>53</v>
      </c>
      <c r="B57" s="6" t="inlineStr">
        <is>
          <t>Ñuble</t>
        </is>
      </c>
      <c r="C57" s="6" t="inlineStr">
        <is>
          <t>Agente de Desarrollo Local</t>
        </is>
      </c>
      <c r="D57" s="6" t="inlineStr">
        <is>
          <t>19</t>
        </is>
      </c>
      <c r="E57" s="6" t="inlineStr">
        <is>
          <t>Ejecutor</t>
        </is>
      </c>
      <c r="F57" s="10" t="inlineStr">
        <is>
          <t>SUSPENDIDA (C.12)</t>
        </is>
      </c>
      <c r="G57" s="6" t="inlineStr">
        <is>
          <t>CONDICIONADA</t>
        </is>
      </c>
      <c r="H57" s="6" t="inlineStr">
        <is>
          <t>2027 / post-Circular 12</t>
        </is>
      </c>
      <c r="I57" s="8" t="n">
        <v>23606</v>
      </c>
      <c r="J57" s="6" t="inlineStr">
        <is>
          <t>No marcada para proveer en corte may-2026; reevaluar al levantarse las restricciones o vía convenio de programa.</t>
        </is>
      </c>
    </row>
    <row r="58">
      <c r="A58" s="6" t="n">
        <v>54</v>
      </c>
      <c r="B58" s="6" t="inlineStr">
        <is>
          <t>Dirección Nacional</t>
        </is>
      </c>
      <c r="C58" s="6" t="inlineStr">
        <is>
          <t>Director/a Ejecutivo/a</t>
        </is>
      </c>
      <c r="D58" s="6" t="inlineStr">
        <is>
          <t>1C</t>
        </is>
      </c>
      <c r="E58" s="6" t="inlineStr">
        <is>
          <t>Conducción</t>
        </is>
      </c>
      <c r="F58" s="7" t="inlineStr">
        <is>
          <t>POR REGULARIZAR</t>
        </is>
      </c>
      <c r="G58" s="6" t="inlineStr">
        <is>
          <t>ALTA</t>
        </is>
      </c>
      <c r="H58" s="6" t="inlineStr">
        <is>
          <t>T3-2026</t>
        </is>
      </c>
      <c r="I58" s="8" t="n">
        <v>0</v>
      </c>
      <c r="J58" s="6" t="inlineStr">
        <is>
          <t>Función ya ejercida vía funciones directivas (Ley 21.796): registro nominal en RRHH sin costo incremental. Acción recomendada por el Informe Integral DO.</t>
        </is>
      </c>
    </row>
    <row r="59">
      <c r="A59" s="6" t="n">
        <v>55</v>
      </c>
      <c r="B59" s="6" t="inlineStr">
        <is>
          <t>Dirección Nacional</t>
        </is>
      </c>
      <c r="C59" s="6" t="inlineStr">
        <is>
          <t>Subdirector/a de Usuarios</t>
        </is>
      </c>
      <c r="D59" s="6" t="inlineStr">
        <is>
          <t>3</t>
        </is>
      </c>
      <c r="E59" s="6" t="inlineStr">
        <is>
          <t>Jefatura/Enc.</t>
        </is>
      </c>
      <c r="F59" s="9" t="inlineStr">
        <is>
          <t>POR PROVEER</t>
        </is>
      </c>
      <c r="G59" s="6" t="inlineStr">
        <is>
          <t>ALTA</t>
        </is>
      </c>
      <c r="H59" s="6" t="inlineStr">
        <is>
          <t>Ago–Sep 2026</t>
        </is>
      </c>
      <c r="I59" s="8" t="n">
        <v>41311</v>
      </c>
      <c r="J59" s="6" t="inlineStr">
        <is>
          <t>Jefatura crítica del nivel central sin titular.</t>
        </is>
      </c>
    </row>
    <row r="60">
      <c r="A60" s="6" t="n">
        <v>56</v>
      </c>
      <c r="B60" s="6" t="inlineStr">
        <is>
          <t>Dirección Nacional</t>
        </is>
      </c>
      <c r="C60" s="6" t="inlineStr">
        <is>
          <t>Jefe/a de Gabinete</t>
        </is>
      </c>
      <c r="D60" s="6" t="inlineStr">
        <is>
          <t>4</t>
        </is>
      </c>
      <c r="E60" s="6" t="inlineStr">
        <is>
          <t>Jefatura/Enc.</t>
        </is>
      </c>
      <c r="F60" s="9" t="inlineStr">
        <is>
          <t>POR PROVEER</t>
        </is>
      </c>
      <c r="G60" s="6" t="inlineStr">
        <is>
          <t>ALTA</t>
        </is>
      </c>
      <c r="H60" s="6" t="inlineStr">
        <is>
          <t>Ago–Sep 2026</t>
        </is>
      </c>
      <c r="I60" s="8" t="n">
        <v>41311</v>
      </c>
      <c r="J60" s="6" t="inlineStr">
        <is>
          <t>Jefatura crítica del nivel central sin titular.</t>
        </is>
      </c>
    </row>
    <row r="61">
      <c r="A61" s="6" t="n">
        <v>57</v>
      </c>
      <c r="B61" s="6" t="inlineStr">
        <is>
          <t>Dirección Nacional</t>
        </is>
      </c>
      <c r="C61" s="6" t="inlineStr">
        <is>
          <t>Jefe/a Departamento Emprendimiento y Empleabilidad</t>
        </is>
      </c>
      <c r="D61" s="6" t="inlineStr">
        <is>
          <t>5</t>
        </is>
      </c>
      <c r="E61" s="6" t="inlineStr">
        <is>
          <t>Jefatura/Enc.</t>
        </is>
      </c>
      <c r="F61" s="9" t="inlineStr">
        <is>
          <t>POR PROVEER</t>
        </is>
      </c>
      <c r="G61" s="6" t="inlineStr">
        <is>
          <t>ALTA</t>
        </is>
      </c>
      <c r="H61" s="6" t="inlineStr">
        <is>
          <t>Ago–Sep 2026</t>
        </is>
      </c>
      <c r="I61" s="8" t="n">
        <v>41311</v>
      </c>
      <c r="J61" s="6" t="inlineStr">
        <is>
          <t>Jefatura crítica del nivel central sin titular.</t>
        </is>
      </c>
    </row>
    <row r="62">
      <c r="A62" s="6" t="n">
        <v>58</v>
      </c>
      <c r="B62" s="6" t="inlineStr">
        <is>
          <t>Dirección Nacional</t>
        </is>
      </c>
      <c r="C62" s="6" t="inlineStr">
        <is>
          <t>Jefe/a Departamento de Presupuesto</t>
        </is>
      </c>
      <c r="D62" s="6" t="inlineStr">
        <is>
          <t>8</t>
        </is>
      </c>
      <c r="E62" s="6" t="inlineStr">
        <is>
          <t>Jefatura/Enc.</t>
        </is>
      </c>
      <c r="F62" s="9" t="inlineStr">
        <is>
          <t>POR PROVEER</t>
        </is>
      </c>
      <c r="G62" s="6" t="inlineStr">
        <is>
          <t>ALTA</t>
        </is>
      </c>
      <c r="H62" s="6" t="inlineStr">
        <is>
          <t>Ago–Sep 2026</t>
        </is>
      </c>
      <c r="I62" s="8" t="n">
        <v>41311</v>
      </c>
      <c r="J62" s="6" t="inlineStr">
        <is>
          <t>Jefatura crítica del nivel central sin titular.</t>
        </is>
      </c>
    </row>
    <row r="63">
      <c r="A63" s="6" t="n">
        <v>59</v>
      </c>
      <c r="B63" s="6" t="inlineStr">
        <is>
          <t>Dirección Nacional</t>
        </is>
      </c>
      <c r="C63" s="6" t="inlineStr">
        <is>
          <t>Encargado/a de Innovación Central</t>
        </is>
      </c>
      <c r="D63" s="6" t="inlineStr">
        <is>
          <t>7</t>
        </is>
      </c>
      <c r="E63" s="6" t="inlineStr">
        <is>
          <t>Jefatura/Enc.</t>
        </is>
      </c>
      <c r="F63" s="9" t="inlineStr">
        <is>
          <t>POR PROVEER</t>
        </is>
      </c>
      <c r="G63" s="6" t="inlineStr">
        <is>
          <t>ALTA</t>
        </is>
      </c>
      <c r="H63" s="6" t="inlineStr">
        <is>
          <t>Ago–Sep 2026</t>
        </is>
      </c>
      <c r="I63" s="8" t="n">
        <v>41311</v>
      </c>
      <c r="J63" s="6" t="inlineStr">
        <is>
          <t>Jefatura crítica del nivel central sin titular.</t>
        </is>
      </c>
    </row>
    <row r="64">
      <c r="A64" s="6" t="n">
        <v>60</v>
      </c>
      <c r="B64" s="6" t="inlineStr">
        <is>
          <t>Dirección Nacional</t>
        </is>
      </c>
      <c r="C64" s="6" t="inlineStr">
        <is>
          <t>Coordinador/a Nacional Alianzas Público-Privadas y Territorio</t>
        </is>
      </c>
      <c r="D64" s="6" t="inlineStr">
        <is>
          <t>7</t>
        </is>
      </c>
      <c r="E64" s="6" t="inlineStr">
        <is>
          <t>Soporte</t>
        </is>
      </c>
      <c r="F64" s="10" t="inlineStr">
        <is>
          <t>SUSPENDIDA (C.12)</t>
        </is>
      </c>
      <c r="G64" s="6" t="inlineStr">
        <is>
          <t>CONDICIONADA</t>
        </is>
      </c>
      <c r="H64" s="6" t="inlineStr">
        <is>
          <t>2027 / post-Circular 12</t>
        </is>
      </c>
      <c r="I64" s="8" t="n">
        <v>29508</v>
      </c>
      <c r="J64" s="6" t="inlineStr">
        <is>
          <t>No marcada para proveer en corte may-2026; reevaluar al levantarse las restricciones o vía convenio de programa.</t>
        </is>
      </c>
    </row>
    <row r="65">
      <c r="A65" s="6" t="n">
        <v>61</v>
      </c>
      <c r="B65" s="6" t="inlineStr">
        <is>
          <t>Dirección Nacional</t>
        </is>
      </c>
      <c r="C65" s="6" t="inlineStr">
        <is>
          <t>Auditor/a</t>
        </is>
      </c>
      <c r="D65" s="6" t="inlineStr">
        <is>
          <t>7</t>
        </is>
      </c>
      <c r="E65" s="6" t="inlineStr">
        <is>
          <t>Soporte</t>
        </is>
      </c>
      <c r="F65" s="10" t="inlineStr">
        <is>
          <t>SUSPENDIDA (C.12)</t>
        </is>
      </c>
      <c r="G65" s="6" t="inlineStr">
        <is>
          <t>CONDICIONADA</t>
        </is>
      </c>
      <c r="H65" s="6" t="inlineStr">
        <is>
          <t>2027 / post-Circular 12</t>
        </is>
      </c>
      <c r="I65" s="8" t="n">
        <v>29508</v>
      </c>
      <c r="J65" s="6" t="inlineStr">
        <is>
          <t>No marcada para proveer en corte may-2026; reevaluar al levantarse las restricciones o vía convenio de programa.</t>
        </is>
      </c>
    </row>
    <row r="66">
      <c r="A66" s="6" t="n">
        <v>62</v>
      </c>
      <c r="B66" s="6" t="inlineStr">
        <is>
          <t>Dirección Nacional</t>
        </is>
      </c>
      <c r="C66" s="6" t="inlineStr">
        <is>
          <t>Profesional de Control de Gestión Central</t>
        </is>
      </c>
      <c r="D66" s="6" t="inlineStr">
        <is>
          <t>6</t>
        </is>
      </c>
      <c r="E66" s="6" t="inlineStr">
        <is>
          <t>Soporte</t>
        </is>
      </c>
      <c r="F66" s="9" t="inlineStr">
        <is>
          <t>POR PROVEER</t>
        </is>
      </c>
      <c r="G66" s="6" t="inlineStr">
        <is>
          <t>MEDIA</t>
        </is>
      </c>
      <c r="H66" s="6" t="inlineStr">
        <is>
          <t>T4-2026</t>
        </is>
      </c>
      <c r="I66" s="8" t="n">
        <v>29508</v>
      </c>
      <c r="J66" s="6" t="inlineStr">
        <is>
          <t>Provisión programada segunda mitad 2026, sujeta a vía Circular N°12 (art. 7d / convenio).</t>
        </is>
      </c>
    </row>
    <row r="67">
      <c r="A67" s="6" t="n">
        <v>63</v>
      </c>
      <c r="B67" s="6" t="inlineStr">
        <is>
          <t>Dirección Nacional</t>
        </is>
      </c>
      <c r="C67" s="6" t="inlineStr">
        <is>
          <t>Profesional Desarrollo Organizacional</t>
        </is>
      </c>
      <c r="D67" s="6" t="inlineStr">
        <is>
          <t>11</t>
        </is>
      </c>
      <c r="E67" s="6" t="inlineStr">
        <is>
          <t>Soporte</t>
        </is>
      </c>
      <c r="F67" s="9" t="inlineStr">
        <is>
          <t>POR PROVEER</t>
        </is>
      </c>
      <c r="G67" s="6" t="inlineStr">
        <is>
          <t>MEDIA</t>
        </is>
      </c>
      <c r="H67" s="6" t="inlineStr">
        <is>
          <t>T4-2026</t>
        </is>
      </c>
      <c r="I67" s="8" t="n">
        <v>29508</v>
      </c>
      <c r="J67" s="6" t="inlineStr">
        <is>
          <t>Provisión programada segunda mitad 2026, sujeta a vía Circular N°12 (art. 7d / convenio).</t>
        </is>
      </c>
    </row>
    <row r="68">
      <c r="A68" s="6" t="n">
        <v>64</v>
      </c>
      <c r="B68" s="6" t="inlineStr">
        <is>
          <t>Dirección Nacional</t>
        </is>
      </c>
      <c r="C68" s="6" t="inlineStr">
        <is>
          <t>Profesional Sistemas Informáticos</t>
        </is>
      </c>
      <c r="D68" s="6" t="inlineStr">
        <is>
          <t>12</t>
        </is>
      </c>
      <c r="E68" s="6" t="inlineStr">
        <is>
          <t>Soporte</t>
        </is>
      </c>
      <c r="F68" s="9" t="inlineStr">
        <is>
          <t>POR PROVEER</t>
        </is>
      </c>
      <c r="G68" s="6" t="inlineStr">
        <is>
          <t>ALTA</t>
        </is>
      </c>
      <c r="H68" s="6" t="inlineStr">
        <is>
          <t>Sep-2026</t>
        </is>
      </c>
      <c r="I68" s="8" t="n">
        <v>29508</v>
      </c>
      <c r="J68" s="6" t="inlineStr">
        <is>
          <t>Brecha TI/ciberseguridad en tensión con OGI5 (modernización digital); existe presupuesto Subt.29 informática.</t>
        </is>
      </c>
    </row>
    <row r="69">
      <c r="A69" s="6" t="n">
        <v>65</v>
      </c>
      <c r="B69" s="6" t="inlineStr">
        <is>
          <t>Dirección Nacional</t>
        </is>
      </c>
      <c r="C69" s="6" t="inlineStr">
        <is>
          <t>Profesional Sistemas Informáticos (Ciberseguridad)</t>
        </is>
      </c>
      <c r="D69" s="6" t="inlineStr">
        <is>
          <t>12</t>
        </is>
      </c>
      <c r="E69" s="6" t="inlineStr">
        <is>
          <t>Soporte</t>
        </is>
      </c>
      <c r="F69" s="9" t="inlineStr">
        <is>
          <t>POR PROVEER</t>
        </is>
      </c>
      <c r="G69" s="6" t="inlineStr">
        <is>
          <t>ALTA</t>
        </is>
      </c>
      <c r="H69" s="6" t="inlineStr">
        <is>
          <t>Sep-2026</t>
        </is>
      </c>
      <c r="I69" s="8" t="n">
        <v>29508</v>
      </c>
      <c r="J69" s="6" t="inlineStr">
        <is>
          <t>Brecha TI/ciberseguridad en tensión con OGI5 (modernización digital); existe presupuesto Subt.29 informática.</t>
        </is>
      </c>
    </row>
    <row r="70">
      <c r="A70" s="6" t="n">
        <v>66</v>
      </c>
      <c r="B70" s="6" t="inlineStr">
        <is>
          <t>Dirección Nacional</t>
        </is>
      </c>
      <c r="C70" s="6" t="inlineStr">
        <is>
          <t>Profesional Sistemas Informáticos</t>
        </is>
      </c>
      <c r="D70" s="6" t="inlineStr">
        <is>
          <t>14</t>
        </is>
      </c>
      <c r="E70" s="6" t="inlineStr">
        <is>
          <t>Soporte</t>
        </is>
      </c>
      <c r="F70" s="9" t="inlineStr">
        <is>
          <t>POR PROVEER</t>
        </is>
      </c>
      <c r="G70" s="6" t="inlineStr">
        <is>
          <t>ALTA</t>
        </is>
      </c>
      <c r="H70" s="6" t="inlineStr">
        <is>
          <t>Sep-2026</t>
        </is>
      </c>
      <c r="I70" s="8" t="n">
        <v>29508</v>
      </c>
      <c r="J70" s="6" t="inlineStr">
        <is>
          <t>Brecha TI/ciberseguridad en tensión con OGI5 (modernización digital); existe presupuesto Subt.29 informática.</t>
        </is>
      </c>
    </row>
    <row r="71">
      <c r="A71" s="6" t="n">
        <v>67</v>
      </c>
      <c r="B71" s="6" t="inlineStr">
        <is>
          <t>Dirección Nacional</t>
        </is>
      </c>
      <c r="C71" s="6" t="inlineStr">
        <is>
          <t>Asistente Administrativo Transversal</t>
        </is>
      </c>
      <c r="D71" s="6" t="inlineStr">
        <is>
          <t>10</t>
        </is>
      </c>
      <c r="E71" s="6" t="inlineStr">
        <is>
          <t>Soporte</t>
        </is>
      </c>
      <c r="F71" s="9" t="inlineStr">
        <is>
          <t>POR PROVEER</t>
        </is>
      </c>
      <c r="G71" s="6" t="inlineStr">
        <is>
          <t>MEDIA</t>
        </is>
      </c>
      <c r="H71" s="6" t="inlineStr">
        <is>
          <t>T4-2026</t>
        </is>
      </c>
      <c r="I71" s="8" t="n">
        <v>29508</v>
      </c>
      <c r="J71" s="6" t="inlineStr">
        <is>
          <t>Provisión programada segunda mitad 2026, sujeta a vía Circular N°12 (art. 7d / convenio).</t>
        </is>
      </c>
    </row>
    <row r="72">
      <c r="A72" s="6" t="n">
        <v>68</v>
      </c>
      <c r="B72" s="6" t="inlineStr">
        <is>
          <t>Dirección Nacional</t>
        </is>
      </c>
      <c r="C72" s="6" t="inlineStr">
        <is>
          <t>Asistente Administrativo Transversal</t>
        </is>
      </c>
      <c r="D72" s="6" t="inlineStr">
        <is>
          <t>10</t>
        </is>
      </c>
      <c r="E72" s="6" t="inlineStr">
        <is>
          <t>Soporte</t>
        </is>
      </c>
      <c r="F72" s="10" t="inlineStr">
        <is>
          <t>SUSPENDIDA (C.12)</t>
        </is>
      </c>
      <c r="G72" s="6" t="inlineStr">
        <is>
          <t>CONDICIONADA</t>
        </is>
      </c>
      <c r="H72" s="6" t="inlineStr">
        <is>
          <t>2027 / post-Circular 12</t>
        </is>
      </c>
      <c r="I72" s="8" t="n">
        <v>29508</v>
      </c>
      <c r="J72" s="6" t="inlineStr">
        <is>
          <t>No marcada para proveer en corte may-2026; reevaluar al levantarse las restricciones o vía convenio de programa.</t>
        </is>
      </c>
    </row>
    <row r="73">
      <c r="A73" s="6" t="n">
        <v>69</v>
      </c>
      <c r="B73" s="6" t="inlineStr">
        <is>
          <t>Dirección Nacional</t>
        </is>
      </c>
      <c r="C73" s="6" t="inlineStr">
        <is>
          <t>Apoyo Provincial Programas SSyOO</t>
        </is>
      </c>
      <c r="D73" s="6" t="inlineStr">
        <is>
          <t>16</t>
        </is>
      </c>
      <c r="E73" s="6" t="inlineStr">
        <is>
          <t>Ejecutor</t>
        </is>
      </c>
      <c r="F73" s="10" t="inlineStr">
        <is>
          <t>SUSPENDIDA (C.12)</t>
        </is>
      </c>
      <c r="G73" s="6" t="inlineStr">
        <is>
          <t>CONDICIONADA</t>
        </is>
      </c>
      <c r="H73" s="6" t="inlineStr">
        <is>
          <t>2027 / post-Circular 12</t>
        </is>
      </c>
      <c r="I73" s="8" t="n">
        <v>23606</v>
      </c>
      <c r="J73" s="6" t="inlineStr">
        <is>
          <t>No marcada para proveer en corte may-2026; reevaluar al levantarse las restricciones o vía convenio de programa.</t>
        </is>
      </c>
    </row>
    <row r="74">
      <c r="C74" s="12" t="inlineStr">
        <is>
          <t>TOTAL COSTO INCREMENTAL ANUAL (cargos con provisión proyectada 2026, excl. suspendidos)</t>
        </is>
      </c>
      <c r="I74" s="13">
        <f>SUMIFS(I5:I73,F5:F73,"&lt;&gt;SUSPENDIDA (C.12)")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0" customWidth="1" min="3" max="3"/>
  </cols>
  <sheetData>
    <row r="1">
      <c r="A1" s="1" t="inlineStr">
        <is>
          <t>RESUMEN DE LA PROYECCIÓN — 12-06-2026</t>
        </is>
      </c>
    </row>
    <row r="3">
      <c r="A3" s="3" t="inlineStr">
        <is>
          <t>Estado</t>
        </is>
      </c>
      <c r="B3" s="3" t="inlineStr">
        <is>
          <t>N° cargos</t>
        </is>
      </c>
      <c r="C3" s="3" t="inlineStr">
        <is>
          <t>Lectura</t>
        </is>
      </c>
    </row>
    <row r="4">
      <c r="A4" s="14" t="inlineStr">
        <is>
          <t>PROVISTA</t>
        </is>
      </c>
      <c r="B4" s="15">
        <f>COUNTIF('Proyección cargos'!F5:F73,"PROVISTA")</f>
        <v/>
      </c>
      <c r="C4" s="16" t="inlineStr">
        <is>
          <t>Jefe/a Servicios Generales ingresado el 08-06-2026.</t>
        </is>
      </c>
    </row>
    <row r="5">
      <c r="A5" s="17" t="inlineStr">
        <is>
          <t>EN PROCESO</t>
        </is>
      </c>
      <c r="B5" s="15">
        <f>COUNTIF('Proyección cargos'!F5:F73,"EN PROCESO")</f>
        <v/>
      </c>
      <c r="C5" s="16" t="inlineStr">
        <is>
          <t>Encargado/a de Personas Ñuble: proceso retomado en junio; proyección de cierre jul-2026.</t>
        </is>
      </c>
    </row>
    <row r="6">
      <c r="A6" s="18" t="inlineStr">
        <is>
          <t>POR REGULARIZAR</t>
        </is>
      </c>
      <c r="B6" s="15">
        <f>COUNTIF('Proyección cargos'!F5:F73,"POR REGULARIZAR")</f>
        <v/>
      </c>
      <c r="C6" s="16" t="inlineStr">
        <is>
          <t>17 cargos de conducción (16 DR + Director/a Ejecutivo/a): función ya ejercida vía funciones directivas; registro nominal con costo incremental $0.</t>
        </is>
      </c>
    </row>
    <row r="7">
      <c r="A7" s="19" t="inlineStr">
        <is>
          <t>POR PROVEER</t>
        </is>
      </c>
      <c r="B7" s="15">
        <f>COUNTIF('Proyección cargos'!F5:F73,"POR PROVEER")</f>
        <v/>
      </c>
      <c r="C7" s="16" t="inlineStr">
        <is>
          <t>Vacantes marcadas 'SÍ' en el plan, secuenciadas jul–dic 2026 según prioridad regional y criticidad.</t>
        </is>
      </c>
    </row>
    <row r="8">
      <c r="A8" s="20" t="inlineStr">
        <is>
          <t>SUSPENDIDA (C.12)</t>
        </is>
      </c>
      <c r="B8" s="15">
        <f>COUNTIF('Proyección cargos'!F5:F73,"SUSPENDIDA (C.12)")</f>
        <v/>
      </c>
      <c r="C8" s="16" t="inlineStr">
        <is>
          <t>Vacantes no priorizadas: condicionadas al levantamiento de la Circular N°12 o a vía convenio.</t>
        </is>
      </c>
    </row>
    <row r="9">
      <c r="A9" s="21" t="inlineStr">
        <is>
          <t>TOTAL</t>
        </is>
      </c>
      <c r="B9" s="21">
        <f>SUM(B4:B8)</f>
        <v/>
      </c>
      <c r="C9" s="22" t="n"/>
    </row>
    <row r="11">
      <c r="A11" s="23" t="inlineStr">
        <is>
          <t>INDICADORES CLAVE</t>
        </is>
      </c>
    </row>
    <row r="12">
      <c r="A12" s="3" t="inlineStr">
        <is>
          <t>Indicador</t>
        </is>
      </c>
      <c r="B12" s="3" t="inlineStr">
        <is>
          <t>Valor</t>
        </is>
      </c>
      <c r="C12" s="3" t="inlineStr">
        <is>
          <t>Comentario</t>
        </is>
      </c>
    </row>
    <row r="13">
      <c r="A13" s="15" t="inlineStr">
        <is>
          <t>Holgura de dotación (cupos)</t>
        </is>
      </c>
      <c r="B13" s="24">
        <f>971-900-1</f>
        <v/>
      </c>
      <c r="C13" s="6" t="inlineStr">
        <is>
          <t>Dotación máx. Ley 971 − nómina 900 − ingreso SSGG (08-06). La holgura sigue financiando con creces la proyección.</t>
        </is>
      </c>
    </row>
    <row r="14">
      <c r="A14" s="15" t="inlineStr">
        <is>
          <t>Costo proyección 2026 (miles $)</t>
        </is>
      </c>
      <c r="B14" s="24">
        <f>'Proyección cargos'!I74</f>
        <v/>
      </c>
      <c r="C14" s="6" t="inlineStr">
        <is>
          <t>Costo incremental anual de todo lo proyectado a proveer en 2026 (los 17 de conducción van a $0).</t>
        </is>
      </c>
    </row>
    <row r="15">
      <c r="A15" s="15" t="inlineStr">
        <is>
          <t>Holgura presupuestaria ref. (miles $)</t>
        </is>
      </c>
      <c r="B15" s="24">
        <f>B13*29508</f>
        <v/>
      </c>
      <c r="C15" s="6" t="inlineStr">
        <is>
          <t>Cupos de holgura × costo promedio institucional por cupo (Ley 21.796).</t>
        </is>
      </c>
    </row>
    <row r="16">
      <c r="A16" s="15" t="inlineStr">
        <is>
          <t>¿Proyección cabe en holgura? (1=sí)</t>
        </is>
      </c>
      <c r="B16" s="24">
        <f>IF(B15&gt;=B14,1,0)</f>
        <v/>
      </c>
      <c r="C16" s="6" t="inlineStr">
        <is>
          <t>Validación de consistencia presupuestaria.</t>
        </is>
      </c>
    </row>
    <row r="18">
      <c r="A18" s="2" t="inlineStr">
        <is>
          <t>Supuestos: costo promedio por cupo $29.508 miles/año (Subt. 21 ÷ dotación máx., Ley 21.796) × multiplicador por categoría (Conducción 1,8 — aplicado $0 por estar ya financiada vía funciones directivas; Jefatura 1,4; Soporte 1,0; Ejecutor 0,8). Supuestos editables: calibrar con Transparencia Activa.</t>
        </is>
      </c>
    </row>
    <row r="19">
      <c r="A19" s="2" t="inlineStr">
        <is>
          <t>Las fechas de provisión proyectadas son propuesta DDO sujeta a: VB del Subdirector de Personas, vía normativa aplicable (Circular N°12 art. 7d / convenios) y disponibilidad de procesos de selección.</t>
        </is>
      </c>
    </row>
    <row r="20">
      <c r="A20" s="2" t="inlineStr">
        <is>
          <t>Elaborado por Depto. Desarrollo Organizacional — 12-06-2026.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2026-06-12T12:30:06Z</dcterms:created>
  <dcterms:modified xmlns:dcterms="http://purl.org/dc/terms/" xmlns:xsi="http://www.w3.org/2001/XMLSchema-instance" xsi:type="dcterms:W3CDTF">2026-06-12T12:30:06Z</dcterms:modified>
</cp:coreProperties>
</file>