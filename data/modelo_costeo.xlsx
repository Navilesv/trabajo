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arámetros" sheetId="1" state="visible" r:id="rId1"/>
    <sheet xmlns:r="http://schemas.openxmlformats.org/officeDocument/2006/relationships" name="2. Presupuesto Ley 2026" sheetId="2" state="visible" r:id="rId2"/>
    <sheet xmlns:r="http://schemas.openxmlformats.org/officeDocument/2006/relationships" name="3. Autorizado vs Real" sheetId="3" state="visible" r:id="rId3"/>
    <sheet xmlns:r="http://schemas.openxmlformats.org/officeDocument/2006/relationships" name="4. Simulación 41 vacantes" sheetId="4" state="visible" r:id="rId4"/>
    <sheet xmlns:r="http://schemas.openxmlformats.org/officeDocument/2006/relationships" name="5. 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3" fontId="4" fillId="3" borderId="1" pivotButton="0" quotePrefix="0" xfId="0"/>
    <xf numFmtId="0" fontId="5" fillId="0" borderId="0" pivotButton="0" quotePrefix="0" xfId="0"/>
    <xf numFmtId="164" fontId="4" fillId="4" borderId="1" pivotButton="0" quotePrefix="0" xfId="0"/>
    <xf numFmtId="3" fontId="4" fillId="0" borderId="1" pivotButton="0" quotePrefix="0" xfId="0"/>
    <xf numFmtId="0" fontId="6" fillId="5" borderId="1" pivotButton="0" quotePrefix="0" xfId="0"/>
    <xf numFmtId="3" fontId="6" fillId="5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6" fillId="0" borderId="1" pivotButton="0" quotePrefix="0" xfId="0"/>
    <xf numFmtId="3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74" customWidth="1" min="3" max="3"/>
    <col width="60" customWidth="1" min="4" max="4"/>
  </cols>
  <sheetData>
    <row r="1">
      <c r="A1" s="1" t="inlineStr">
        <is>
          <t>PARÁMETROS Y SUPUESTOS DEL MODELO (celdas amarillas = editables)</t>
        </is>
      </c>
    </row>
    <row r="2">
      <c r="A2" s="2" t="inlineStr">
        <is>
          <t>Fuente base: Ley de Presupuestos 2026, Partida 21, Cap. 02 FOSIS. Calibrar multiplicadores con Transparencia Activa o EUS.</t>
        </is>
      </c>
    </row>
    <row r="4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Fuente / Comentario</t>
        </is>
      </c>
    </row>
    <row r="5">
      <c r="A5" s="4" t="inlineStr">
        <is>
          <t>Costo promedio anual por cupo — Programa 01</t>
        </is>
      </c>
      <c r="B5" s="5">
        <f>ROUND(19617274/613,0)</f>
        <v/>
      </c>
      <c r="C5" s="4" t="inlineStr">
        <is>
          <t>miles $/año</t>
        </is>
      </c>
      <c r="D5" s="4" t="inlineStr">
        <is>
          <t>Subt.21 P01 / dotación máx. 613</t>
        </is>
      </c>
    </row>
    <row r="6">
      <c r="A6" s="4" t="inlineStr">
        <is>
          <t>Costo promedio anual por cupo — Programa 03</t>
        </is>
      </c>
      <c r="B6" s="5">
        <f>ROUND(2023577/72,0)</f>
        <v/>
      </c>
      <c r="C6" s="4" t="inlineStr">
        <is>
          <t>miles $/año</t>
        </is>
      </c>
      <c r="D6" s="4" t="inlineStr">
        <is>
          <t>Subt.21 P03 / dotación máx. 72</t>
        </is>
      </c>
    </row>
    <row r="7">
      <c r="A7" s="4" t="inlineStr">
        <is>
          <t>Costo promedio anual por cupo — Programa 04</t>
        </is>
      </c>
      <c r="B7" s="5">
        <f>ROUND(7011685/286,0)</f>
        <v/>
      </c>
      <c r="C7" s="4" t="inlineStr">
        <is>
          <t>miles $/año</t>
        </is>
      </c>
      <c r="D7" s="4" t="inlineStr">
        <is>
          <t>Subt.21 P04 / dotación máx. 286</t>
        </is>
      </c>
    </row>
    <row r="8">
      <c r="A8" s="4" t="inlineStr">
        <is>
          <t>Costo promedio anual por cupo — INSTITUCIONAL</t>
        </is>
      </c>
      <c r="B8" s="5">
        <f>ROUND(28652536/971,0)</f>
        <v/>
      </c>
      <c r="C8" s="4" t="inlineStr">
        <is>
          <t>miles $/año</t>
        </is>
      </c>
      <c r="D8" s="4" t="inlineStr">
        <is>
          <t>Subt.21 total / dotación máx. total</t>
        </is>
      </c>
    </row>
    <row r="9">
      <c r="A9" s="4" t="inlineStr">
        <is>
          <t>Costo promedio mensual por cupo — INSTITUCIONAL</t>
        </is>
      </c>
      <c r="B9" s="5">
        <f>ROUND(B8/12,0)</f>
        <v/>
      </c>
      <c r="C9" s="4" t="inlineStr">
        <is>
          <t>miles $/mes</t>
        </is>
      </c>
      <c r="D9" s="4" t="inlineStr">
        <is>
          <t>Derivado</t>
        </is>
      </c>
    </row>
    <row r="11">
      <c r="A11" s="6" t="inlineStr">
        <is>
          <t>MULTIPLICADORES POR CATEGORÍA (supuestos editables — calibrar con EUS / Transparencia)</t>
        </is>
      </c>
    </row>
    <row r="12">
      <c r="A12" s="3" t="inlineStr">
        <is>
          <t>Categoría de cargo</t>
        </is>
      </c>
      <c r="B12" s="3" t="inlineStr">
        <is>
          <t>Multiplicador</t>
        </is>
      </c>
      <c r="C12" s="3" t="inlineStr">
        <is>
          <t>Racional del supuesto</t>
        </is>
      </c>
    </row>
    <row r="13">
      <c r="A13" s="4" t="inlineStr">
        <is>
          <t>Conducción (DR, Director Ejecutivo, Subdirector)</t>
        </is>
      </c>
      <c r="B13" s="7" t="n">
        <v>1.8</v>
      </c>
      <c r="C13" s="4" t="inlineStr">
        <is>
          <t>Grados 1C–4 + asignaciones de dirección; muy por sobre el promedio</t>
        </is>
      </c>
    </row>
    <row r="14">
      <c r="A14" s="4" t="inlineStr">
        <is>
          <t>Jefatura / Encargado</t>
        </is>
      </c>
      <c r="B14" s="7" t="n">
        <v>1.4</v>
      </c>
      <c r="C14" s="4" t="inlineStr">
        <is>
          <t>Grados 5–12 con funciones directivas o encargadurías</t>
        </is>
      </c>
    </row>
    <row r="15">
      <c r="A15" s="4" t="inlineStr">
        <is>
          <t>Soporte y especialización (profesionales)</t>
        </is>
      </c>
      <c r="B15" s="7" t="n">
        <v>1</v>
      </c>
      <c r="C15" s="4" t="inlineStr">
        <is>
          <t>En torno al promedio institucional</t>
        </is>
      </c>
    </row>
    <row r="16">
      <c r="A16" s="4" t="inlineStr">
        <is>
          <t>Ejecutor de programa</t>
        </is>
      </c>
      <c r="B16" s="7" t="n">
        <v>0.8</v>
      </c>
      <c r="C16" s="4" t="inlineStr">
        <is>
          <t>Grados 16–19, mayoritariamente tipo 04/programa</t>
        </is>
      </c>
    </row>
    <row r="18">
      <c r="A18" s="2" t="inlineStr">
        <is>
          <t>Los multiplicadores son supuestos de trabajo, NO cifras oficiales. Reemplazar por costos reales cuando se baje la remuneración bruta de Transparencia Activa.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3" customWidth="1" min="4" max="4"/>
    <col width="12" customWidth="1" min="5" max="5"/>
    <col width="14" customWidth="1" min="6" max="6"/>
    <col width="14" customWidth="1" min="7" max="7"/>
    <col width="52" customWidth="1" min="8" max="8"/>
  </cols>
  <sheetData>
    <row r="1">
      <c r="A1" s="1" t="inlineStr">
        <is>
          <t>PRESUPUESTO FOSIS 2026 — LEY N° 21.796 (Partida 21, Capítulo 02) — miles de $</t>
        </is>
      </c>
    </row>
    <row r="3">
      <c r="A3" s="3" t="inlineStr">
        <is>
          <t>Programa presupuestario</t>
        </is>
      </c>
      <c r="B3" s="3" t="inlineStr">
        <is>
          <t>Total programa</t>
        </is>
      </c>
      <c r="C3" s="3" t="inlineStr">
        <is>
          <t>Subt. 21 Personal</t>
        </is>
      </c>
      <c r="D3" s="3" t="inlineStr">
        <is>
          <t>Subt. 22 ByS</t>
        </is>
      </c>
      <c r="E3" s="3" t="inlineStr">
        <is>
          <t>Dotación máxima</t>
        </is>
      </c>
      <c r="F3" s="3" t="inlineStr">
        <is>
          <t>Honorarios autorizados (N°)</t>
        </is>
      </c>
      <c r="G3" s="3" t="inlineStr">
        <is>
          <t>Honorarios (miles $)</t>
        </is>
      </c>
      <c r="H3" s="3" t="inlineStr">
        <is>
          <t>Glosas clave</t>
        </is>
      </c>
    </row>
    <row r="4">
      <c r="A4" s="4" t="inlineStr">
        <is>
          <t>01 — FOSIS (operación institucional)</t>
        </is>
      </c>
      <c r="B4" s="8" t="n">
        <v>25103296</v>
      </c>
      <c r="C4" s="8" t="n">
        <v>19617274</v>
      </c>
      <c r="D4" s="8" t="n">
        <v>3928250</v>
      </c>
      <c r="E4" s="8" t="n">
        <v>613</v>
      </c>
      <c r="F4" s="8" t="n">
        <v>9</v>
      </c>
      <c r="G4" s="8" t="n">
        <v>141253</v>
      </c>
      <c r="H4" s="4" t="inlineStr">
        <is>
          <t>G.02: dot. máx 613, HH.EE. $37.094, viáticos $155.677+$903, func. críticas 17 pers./$172.186; G.01: 46 vehículos; Subt.29 informática $724.305; Innova FOSIS $734.552</t>
        </is>
      </c>
    </row>
    <row r="5">
      <c r="A5" s="4" t="inlineStr">
        <is>
          <t>03 — Generación de Ingresos Autónomos</t>
        </is>
      </c>
      <c r="B5" s="8" t="n">
        <v>35727313</v>
      </c>
      <c r="C5" s="8" t="n">
        <v>2023577</v>
      </c>
      <c r="D5" s="8" t="n">
        <v>166491</v>
      </c>
      <c r="E5" s="8" t="n">
        <v>72</v>
      </c>
      <c r="F5" s="8" t="n">
        <v>20</v>
      </c>
      <c r="G5" s="8" t="n">
        <v>380548</v>
      </c>
      <c r="H5" s="4" t="inlineStr">
        <is>
          <t>G.01: dot. máx 72, viáticos $12.058; Subt.33: Emprendamos $10.994.141, Emprendamos Semilla $21.512.084 (≥17.604 usuarios, G.06), Microcrédito $1.031.000; G.04: asignación regional vía GORE/Consejos</t>
        </is>
      </c>
    </row>
    <row r="6">
      <c r="A6" s="4" t="inlineStr">
        <is>
          <t>04 — Acompañamiento Familiar y Comunitario</t>
        </is>
      </c>
      <c r="B6" s="8" t="n">
        <v>51611834</v>
      </c>
      <c r="C6" s="8" t="n">
        <v>7011685</v>
      </c>
      <c r="D6" s="8" t="n">
        <v>92734</v>
      </c>
      <c r="E6" s="8" t="n">
        <v>286</v>
      </c>
      <c r="F6" s="8" t="n">
        <v>113</v>
      </c>
      <c r="G6" s="8" t="n">
        <v>2304729</v>
      </c>
      <c r="H6" s="4" t="inlineStr">
        <is>
          <t>G.01: dot. máx 286, 18 conv. pers. nat. ($287.966); G.04: 64 AT Habitabilidad ($1.377.015); G.05: 31 AT ASAL ($639.748); Subt.24: Acomp. Familiar $26.496.700, Habitabilidad $14.704.626; Subt.33: Comunidades Solidarias $1.226.787</t>
        </is>
      </c>
    </row>
    <row r="7">
      <c r="A7" s="9" t="inlineStr">
        <is>
          <t>TOTAL FOSIS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  <c r="F7" s="10">
        <f>SUM(F4:F6)</f>
        <v/>
      </c>
      <c r="G7" s="10">
        <f>SUM(G4:G6)</f>
        <v/>
      </c>
      <c r="H7" s="9" t="inlineStr"/>
    </row>
    <row r="9">
      <c r="A9" s="2" t="inlineStr">
        <is>
          <t>Ingresos por transferencia desde Subsecretaría de Servicios Sociales (Prog. 05 IEF/Chile Solidario): $43.280.618 corrientes (P04) + $17.024.706 capital (P03).</t>
        </is>
      </c>
    </row>
    <row r="10">
      <c r="A10" s="2" t="inlineStr">
        <is>
          <t>Fuente: articles-406493_doc_pdf.pdf, págs. 1026–1031 del PDF. Honorarios P04 = 18 + 64 + 31 = 113 personas.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62" customWidth="1" min="5" max="5"/>
  </cols>
  <sheetData>
    <row r="1">
      <c r="A1" s="1" t="inlineStr">
        <is>
          <t>DOTACIÓN AUTORIZADA (LEY) vs. DOTACIÓN REAL (NÓMINA MAYO 2026)</t>
        </is>
      </c>
    </row>
    <row r="3">
      <c r="A3" s="3" t="inlineStr">
        <is>
          <t>Concepto</t>
        </is>
      </c>
      <c r="B3" s="3" t="inlineStr">
        <is>
          <t>Autorizado Ley 2026</t>
        </is>
      </c>
      <c r="C3" s="3" t="inlineStr">
        <is>
          <t>Real nómina may-2026</t>
        </is>
      </c>
      <c r="D3" s="3" t="inlineStr">
        <is>
          <t>Holgura / Diferencia</t>
        </is>
      </c>
      <c r="E3" s="3" t="inlineStr">
        <is>
          <t>Lectura</t>
        </is>
      </c>
    </row>
    <row r="4">
      <c r="A4" s="4" t="inlineStr">
        <is>
          <t>Dotación (planta + contrata)</t>
        </is>
      </c>
      <c r="B4" s="8" t="n">
        <v>971</v>
      </c>
      <c r="C4" s="8" t="n">
        <v>900</v>
      </c>
      <c r="D4" s="8">
        <f>B4-C4</f>
        <v/>
      </c>
      <c r="E4" s="4" t="inlineStr">
        <is>
          <t>Holgura de 71 cupos ≈ las 68 vacantes del Dashboard: el financiamiento existe; la restricción es la Circular N°12</t>
        </is>
      </c>
    </row>
    <row r="5">
      <c r="A5" s="4" t="inlineStr">
        <is>
          <t>Honorarios (convenios pers. naturales)</t>
        </is>
      </c>
      <c r="B5" s="8" t="n">
        <v>142</v>
      </c>
      <c r="C5" s="8" t="n">
        <v>139</v>
      </c>
      <c r="D5" s="8">
        <f>B5-C5</f>
        <v/>
      </c>
      <c r="E5" s="4" t="inlineStr">
        <is>
          <t>Calza el desglose: 64 AT Habitabilidad ↔ 68 'Honorarios Habitabilidad'; 31 AT ASAL ↔ 33 'Autoconsumo'</t>
        </is>
      </c>
    </row>
    <row r="6">
      <c r="A6" s="9" t="inlineStr">
        <is>
          <t>Total personas</t>
        </is>
      </c>
      <c r="B6" s="10">
        <f>B4+B5</f>
        <v/>
      </c>
      <c r="C6" s="10">
        <f>C4+C5</f>
        <v/>
      </c>
      <c r="D6" s="10">
        <f>B6-C6</f>
        <v/>
      </c>
      <c r="E6" s="9" t="inlineStr">
        <is>
          <t>Nómina total: 1.039</t>
        </is>
      </c>
    </row>
    <row r="8">
      <c r="A8" s="6" t="inlineStr">
        <is>
          <t>DETALLE REAL POR CALIDAD JURÍDICA (nómina)</t>
        </is>
      </c>
    </row>
    <row r="9">
      <c r="A9" s="3" t="inlineStr">
        <is>
          <t>Calidad jurídica</t>
        </is>
      </c>
      <c r="B9" s="3" t="inlineStr">
        <is>
          <t>N</t>
        </is>
      </c>
      <c r="C9" s="3" t="inlineStr">
        <is>
          <t>%</t>
        </is>
      </c>
      <c r="D9" s="3" t="inlineStr"/>
      <c r="E9" s="3" t="inlineStr"/>
    </row>
    <row r="10">
      <c r="A10" s="4" t="inlineStr">
        <is>
          <t>Contrata</t>
        </is>
      </c>
      <c r="B10" s="8" t="n">
        <v>887</v>
      </c>
      <c r="C10" s="11">
        <f>B10/1039</f>
        <v/>
      </c>
      <c r="D10" s="4" t="inlineStr"/>
      <c r="E10" s="4" t="inlineStr"/>
    </row>
    <row r="11">
      <c r="A11" s="4" t="inlineStr">
        <is>
          <t>Planta</t>
        </is>
      </c>
      <c r="B11" s="8" t="n">
        <v>13</v>
      </c>
      <c r="C11" s="11">
        <f>B11/1039</f>
        <v/>
      </c>
      <c r="D11" s="4" t="inlineStr"/>
      <c r="E11" s="4" t="inlineStr"/>
    </row>
    <row r="12">
      <c r="A12" s="4" t="inlineStr">
        <is>
          <t>Honorarios</t>
        </is>
      </c>
      <c r="B12" s="8" t="n">
        <v>139</v>
      </c>
      <c r="C12" s="11">
        <f>B12/1039</f>
        <v/>
      </c>
      <c r="D12" s="4" t="inlineStr"/>
      <c r="E12" s="4" t="inlineStr"/>
    </row>
    <row r="15">
      <c r="A15" s="2" t="inlineStr">
        <is>
          <t>La dotación máxima legal NO incluye honorarios (se autorizan aparte por glosa). Los 4 directivos ADP y los 88 cupos de funciones directivas operan dentro de la dotación.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8" customWidth="1" min="3" max="3"/>
    <col width="16" customWidth="1" min="4" max="4"/>
    <col width="12" customWidth="1" min="5" max="5"/>
    <col width="18" customWidth="1" min="6" max="6"/>
    <col width="18" customWidth="1" min="7" max="7"/>
  </cols>
  <sheetData>
    <row r="1">
      <c r="A1" s="1" t="inlineStr">
        <is>
          <t>COSTEO DE LAS 41 VACANTES MARCADAS 'SÍ PROVEER' (Dashboard de Dotación, mayo 2026)</t>
        </is>
      </c>
    </row>
    <row r="2">
      <c r="A2" s="2" t="inlineStr">
        <is>
          <t>Costo estimado = costo promedio institucional por cupo ('1. Parámetros'!B7) × multiplicador de categoría. Supuesto editable; reemplazar por remuneración real de Transparencia Activa.</t>
        </is>
      </c>
    </row>
    <row r="4">
      <c r="A4" s="3" t="inlineStr">
        <is>
          <t>Región / Unidad</t>
        </is>
      </c>
      <c r="B4" s="3" t="inlineStr">
        <is>
          <t>Cargo vacante</t>
        </is>
      </c>
      <c r="C4" s="3" t="inlineStr">
        <is>
          <t>Grado</t>
        </is>
      </c>
      <c r="D4" s="3" t="inlineStr">
        <is>
          <t>Categoría</t>
        </is>
      </c>
      <c r="E4" s="3" t="inlineStr">
        <is>
          <t>Multiplicador</t>
        </is>
      </c>
      <c r="F4" s="3" t="inlineStr">
        <is>
          <t>Costo anual estimado (miles $)</t>
        </is>
      </c>
      <c r="G4" s="3" t="inlineStr">
        <is>
          <t>Costo mensual estimado (miles $)</t>
        </is>
      </c>
    </row>
    <row r="5">
      <c r="A5" s="4" t="inlineStr">
        <is>
          <t>Tarapacá</t>
        </is>
      </c>
      <c r="B5" s="4" t="inlineStr">
        <is>
          <t>Director/a Regional</t>
        </is>
      </c>
      <c r="C5" s="4" t="inlineStr">
        <is>
          <t>4</t>
        </is>
      </c>
      <c r="D5" s="4" t="inlineStr">
        <is>
          <t>Conducción</t>
        </is>
      </c>
      <c r="E5" s="12">
        <f>'1. Parámetros'!B13</f>
        <v/>
      </c>
      <c r="F5" s="8">
        <f>ROUND('1. Parámetros'!B8*E5,0)</f>
        <v/>
      </c>
      <c r="G5" s="8">
        <f>ROUND(F5/12,0)</f>
        <v/>
      </c>
    </row>
    <row r="6">
      <c r="A6" s="4" t="inlineStr">
        <is>
          <t>Tarapacá</t>
        </is>
      </c>
      <c r="B6" s="4" t="inlineStr">
        <is>
          <t>Encargado/a de Control de Gestión Regional</t>
        </is>
      </c>
      <c r="C6" s="4" t="inlineStr">
        <is>
          <t>12</t>
        </is>
      </c>
      <c r="D6" s="4" t="inlineStr">
        <is>
          <t>Jefatura/Enc.</t>
        </is>
      </c>
      <c r="E6" s="12">
        <f>'1. Parámetros'!B14</f>
        <v/>
      </c>
      <c r="F6" s="8">
        <f>ROUND('1. Parámetros'!B8*E6,0)</f>
        <v/>
      </c>
      <c r="G6" s="8">
        <f>ROUND(F6/12,0)</f>
        <v/>
      </c>
    </row>
    <row r="7">
      <c r="A7" s="4" t="inlineStr">
        <is>
          <t>Antofagasta</t>
        </is>
      </c>
      <c r="B7" s="4" t="inlineStr">
        <is>
          <t>Director/a Regional</t>
        </is>
      </c>
      <c r="C7" s="4" t="inlineStr">
        <is>
          <t>4</t>
        </is>
      </c>
      <c r="D7" s="4" t="inlineStr">
        <is>
          <t>Conducción</t>
        </is>
      </c>
      <c r="E7" s="12">
        <f>'1. Parámetros'!B13</f>
        <v/>
      </c>
      <c r="F7" s="8">
        <f>ROUND('1. Parámetros'!B8*E7,0)</f>
        <v/>
      </c>
      <c r="G7" s="8">
        <f>ROUND(F7/12,0)</f>
        <v/>
      </c>
    </row>
    <row r="8">
      <c r="A8" s="4" t="inlineStr">
        <is>
          <t>Atacama</t>
        </is>
      </c>
      <c r="B8" s="4" t="inlineStr">
        <is>
          <t>Director/a Regional</t>
        </is>
      </c>
      <c r="C8" s="4" t="inlineStr">
        <is>
          <t>4</t>
        </is>
      </c>
      <c r="D8" s="4" t="inlineStr">
        <is>
          <t>Conducción</t>
        </is>
      </c>
      <c r="E8" s="12">
        <f>'1. Parámetros'!B13</f>
        <v/>
      </c>
      <c r="F8" s="8">
        <f>ROUND('1. Parámetros'!B8*E8,0)</f>
        <v/>
      </c>
      <c r="G8" s="8">
        <f>ROUND(F8/12,0)</f>
        <v/>
      </c>
    </row>
    <row r="9">
      <c r="A9" s="4" t="inlineStr">
        <is>
          <t>Coquimbo</t>
        </is>
      </c>
      <c r="B9" s="4" t="inlineStr">
        <is>
          <t>Director/a Regional</t>
        </is>
      </c>
      <c r="C9" s="4" t="inlineStr">
        <is>
          <t>4</t>
        </is>
      </c>
      <c r="D9" s="4" t="inlineStr">
        <is>
          <t>Conducción</t>
        </is>
      </c>
      <c r="E9" s="12">
        <f>'1. Parámetros'!B13</f>
        <v/>
      </c>
      <c r="F9" s="8">
        <f>ROUND('1. Parámetros'!B8*E9,0)</f>
        <v/>
      </c>
      <c r="G9" s="8">
        <f>ROUND(F9/12,0)</f>
        <v/>
      </c>
    </row>
    <row r="10">
      <c r="A10" s="4" t="inlineStr">
        <is>
          <t>Valparaíso</t>
        </is>
      </c>
      <c r="B10" s="4" t="inlineStr">
        <is>
          <t>Director/a Regional</t>
        </is>
      </c>
      <c r="C10" s="4" t="inlineStr">
        <is>
          <t>4</t>
        </is>
      </c>
      <c r="D10" s="4" t="inlineStr">
        <is>
          <t>Conducción</t>
        </is>
      </c>
      <c r="E10" s="12">
        <f>'1. Parámetros'!B13</f>
        <v/>
      </c>
      <c r="F10" s="8">
        <f>ROUND('1. Parámetros'!B8*E10,0)</f>
        <v/>
      </c>
      <c r="G10" s="8">
        <f>ROUND(F10/12,0)</f>
        <v/>
      </c>
    </row>
    <row r="11">
      <c r="A11" s="4" t="inlineStr">
        <is>
          <t>O'Higgins</t>
        </is>
      </c>
      <c r="B11" s="4" t="inlineStr">
        <is>
          <t>Director/a Regional</t>
        </is>
      </c>
      <c r="C11" s="4" t="inlineStr">
        <is>
          <t>4</t>
        </is>
      </c>
      <c r="D11" s="4" t="inlineStr">
        <is>
          <t>Conducción</t>
        </is>
      </c>
      <c r="E11" s="12">
        <f>'1. Parámetros'!B13</f>
        <v/>
      </c>
      <c r="F11" s="8">
        <f>ROUND('1. Parámetros'!B8*E11,0)</f>
        <v/>
      </c>
      <c r="G11" s="8">
        <f>ROUND(F11/12,0)</f>
        <v/>
      </c>
    </row>
    <row r="12">
      <c r="A12" s="4" t="inlineStr">
        <is>
          <t>Maule</t>
        </is>
      </c>
      <c r="B12" s="4" t="inlineStr">
        <is>
          <t>Director/a Regional</t>
        </is>
      </c>
      <c r="C12" s="4" t="inlineStr">
        <is>
          <t>4</t>
        </is>
      </c>
      <c r="D12" s="4" t="inlineStr">
        <is>
          <t>Conducción</t>
        </is>
      </c>
      <c r="E12" s="12">
        <f>'1. Parámetros'!B13</f>
        <v/>
      </c>
      <c r="F12" s="8">
        <f>ROUND('1. Parámetros'!B8*E12,0)</f>
        <v/>
      </c>
      <c r="G12" s="8">
        <f>ROUND(F12/12,0)</f>
        <v/>
      </c>
    </row>
    <row r="13">
      <c r="A13" s="4" t="inlineStr">
        <is>
          <t>Biobío</t>
        </is>
      </c>
      <c r="B13" s="4" t="inlineStr">
        <is>
          <t>Director/a Regional</t>
        </is>
      </c>
      <c r="C13" s="4" t="inlineStr">
        <is>
          <t>4</t>
        </is>
      </c>
      <c r="D13" s="4" t="inlineStr">
        <is>
          <t>Conducción</t>
        </is>
      </c>
      <c r="E13" s="12">
        <f>'1. Parámetros'!B13</f>
        <v/>
      </c>
      <c r="F13" s="8">
        <f>ROUND('1. Parámetros'!B8*E13,0)</f>
        <v/>
      </c>
      <c r="G13" s="8">
        <f>ROUND(F13/12,0)</f>
        <v/>
      </c>
    </row>
    <row r="14">
      <c r="A14" s="4" t="inlineStr">
        <is>
          <t>Araucanía</t>
        </is>
      </c>
      <c r="B14" s="4" t="inlineStr">
        <is>
          <t>Director/a Regional</t>
        </is>
      </c>
      <c r="C14" s="4" t="inlineStr">
        <is>
          <t>4</t>
        </is>
      </c>
      <c r="D14" s="4" t="inlineStr">
        <is>
          <t>Conducción</t>
        </is>
      </c>
      <c r="E14" s="12">
        <f>'1. Parámetros'!B13</f>
        <v/>
      </c>
      <c r="F14" s="8">
        <f>ROUND('1. Parámetros'!B8*E14,0)</f>
        <v/>
      </c>
      <c r="G14" s="8">
        <f>ROUND(F14/12,0)</f>
        <v/>
      </c>
    </row>
    <row r="15">
      <c r="A15" s="4" t="inlineStr">
        <is>
          <t>Araucanía</t>
        </is>
      </c>
      <c r="B15" s="4" t="inlineStr">
        <is>
          <t>Asistente Administrativo (Personas)</t>
        </is>
      </c>
      <c r="C15" s="4" t="inlineStr">
        <is>
          <t>18</t>
        </is>
      </c>
      <c r="D15" s="4" t="inlineStr">
        <is>
          <t>Soporte</t>
        </is>
      </c>
      <c r="E15" s="12">
        <f>'1. Parámetros'!B15</f>
        <v/>
      </c>
      <c r="F15" s="8">
        <f>ROUND('1. Parámetros'!B8*E15,0)</f>
        <v/>
      </c>
      <c r="G15" s="8">
        <f>ROUND(F15/12,0)</f>
        <v/>
      </c>
    </row>
    <row r="16">
      <c r="A16" s="4" t="inlineStr">
        <is>
          <t>Los Lagos</t>
        </is>
      </c>
      <c r="B16" s="4" t="inlineStr">
        <is>
          <t>Director/a Regional</t>
        </is>
      </c>
      <c r="C16" s="4" t="inlineStr">
        <is>
          <t>4</t>
        </is>
      </c>
      <c r="D16" s="4" t="inlineStr">
        <is>
          <t>Conducción</t>
        </is>
      </c>
      <c r="E16" s="12">
        <f>'1. Parámetros'!B13</f>
        <v/>
      </c>
      <c r="F16" s="8">
        <f>ROUND('1. Parámetros'!B8*E16,0)</f>
        <v/>
      </c>
      <c r="G16" s="8">
        <f>ROUND(F16/12,0)</f>
        <v/>
      </c>
    </row>
    <row r="17">
      <c r="A17" s="4" t="inlineStr">
        <is>
          <t>Los Lagos</t>
        </is>
      </c>
      <c r="B17" s="4" t="inlineStr">
        <is>
          <t>Encargado/a Regional de Programas</t>
        </is>
      </c>
      <c r="C17" s="4" t="inlineStr">
        <is>
          <t>12</t>
        </is>
      </c>
      <c r="D17" s="4" t="inlineStr">
        <is>
          <t>Jefatura/Enc.</t>
        </is>
      </c>
      <c r="E17" s="12">
        <f>'1. Parámetros'!B14</f>
        <v/>
      </c>
      <c r="F17" s="8">
        <f>ROUND('1. Parámetros'!B8*E17,0)</f>
        <v/>
      </c>
      <c r="G17" s="8">
        <f>ROUND(F17/12,0)</f>
        <v/>
      </c>
    </row>
    <row r="18">
      <c r="A18" s="4" t="inlineStr">
        <is>
          <t>Los Lagos</t>
        </is>
      </c>
      <c r="B18" s="4" t="inlineStr">
        <is>
          <t>Apoyo Provincial SSyOO (movilidad Araucanía→Los Lagos)</t>
        </is>
      </c>
      <c r="C18" s="4" t="inlineStr">
        <is>
          <t>17</t>
        </is>
      </c>
      <c r="D18" s="4" t="inlineStr">
        <is>
          <t>Ejecutor</t>
        </is>
      </c>
      <c r="E18" s="12">
        <f>'1. Parámetros'!B16</f>
        <v/>
      </c>
      <c r="F18" s="8">
        <f>ROUND('1. Parámetros'!B8*E18,0)</f>
        <v/>
      </c>
      <c r="G18" s="8">
        <f>ROUND(F18/12,0)</f>
        <v/>
      </c>
    </row>
    <row r="19">
      <c r="A19" s="4" t="inlineStr">
        <is>
          <t>Los Lagos</t>
        </is>
      </c>
      <c r="B19" s="4" t="inlineStr">
        <is>
          <t>Gestor/a Familiar Programa Eje</t>
        </is>
      </c>
      <c r="C19" s="4" t="inlineStr">
        <is>
          <t>17</t>
        </is>
      </c>
      <c r="D19" s="4" t="inlineStr">
        <is>
          <t>Ejecutor</t>
        </is>
      </c>
      <c r="E19" s="12">
        <f>'1. Parámetros'!B16</f>
        <v/>
      </c>
      <c r="F19" s="8">
        <f>ROUND('1. Parámetros'!B8*E19,0)</f>
        <v/>
      </c>
      <c r="G19" s="8">
        <f>ROUND(F19/12,0)</f>
        <v/>
      </c>
    </row>
    <row r="20">
      <c r="A20" s="4" t="inlineStr">
        <is>
          <t>Aysén</t>
        </is>
      </c>
      <c r="B20" s="4" t="inlineStr">
        <is>
          <t>Director/a Regional</t>
        </is>
      </c>
      <c r="C20" s="4" t="inlineStr">
        <is>
          <t>4</t>
        </is>
      </c>
      <c r="D20" s="4" t="inlineStr">
        <is>
          <t>Conducción</t>
        </is>
      </c>
      <c r="E20" s="12">
        <f>'1. Parámetros'!B13</f>
        <v/>
      </c>
      <c r="F20" s="8">
        <f>ROUND('1. Parámetros'!B8*E20,0)</f>
        <v/>
      </c>
      <c r="G20" s="8">
        <f>ROUND(F20/12,0)</f>
        <v/>
      </c>
    </row>
    <row r="21">
      <c r="A21" s="4" t="inlineStr">
        <is>
          <t>Aysén</t>
        </is>
      </c>
      <c r="B21" s="4" t="inlineStr">
        <is>
          <t>Gestor/a Familiar Eje (evaluar transformar a Prof. Rendiciones)</t>
        </is>
      </c>
      <c r="C21" s="4" t="inlineStr">
        <is>
          <t>17</t>
        </is>
      </c>
      <c r="D21" s="4" t="inlineStr">
        <is>
          <t>Ejecutor</t>
        </is>
      </c>
      <c r="E21" s="12">
        <f>'1. Parámetros'!B16</f>
        <v/>
      </c>
      <c r="F21" s="8">
        <f>ROUND('1. Parámetros'!B8*E21,0)</f>
        <v/>
      </c>
      <c r="G21" s="8">
        <f>ROUND(F21/12,0)</f>
        <v/>
      </c>
    </row>
    <row r="22">
      <c r="A22" s="4" t="inlineStr">
        <is>
          <t>Magallanes</t>
        </is>
      </c>
      <c r="B22" s="4" t="inlineStr">
        <is>
          <t>Director/a Regional</t>
        </is>
      </c>
      <c r="C22" s="4" t="inlineStr">
        <is>
          <t>4</t>
        </is>
      </c>
      <c r="D22" s="4" t="inlineStr">
        <is>
          <t>Conducción</t>
        </is>
      </c>
      <c r="E22" s="12">
        <f>'1. Parámetros'!B13</f>
        <v/>
      </c>
      <c r="F22" s="8">
        <f>ROUND('1. Parámetros'!B8*E22,0)</f>
        <v/>
      </c>
      <c r="G22" s="8">
        <f>ROUND(F22/12,0)</f>
        <v/>
      </c>
    </row>
    <row r="23">
      <c r="A23" s="4" t="inlineStr">
        <is>
          <t>DR Metropolitana</t>
        </is>
      </c>
      <c r="B23" s="4" t="inlineStr">
        <is>
          <t>Director/a Regional</t>
        </is>
      </c>
      <c r="C23" s="4" t="inlineStr">
        <is>
          <t>4</t>
        </is>
      </c>
      <c r="D23" s="4" t="inlineStr">
        <is>
          <t>Conducción</t>
        </is>
      </c>
      <c r="E23" s="12">
        <f>'1. Parámetros'!B13</f>
        <v/>
      </c>
      <c r="F23" s="8">
        <f>ROUND('1. Parámetros'!B8*E23,0)</f>
        <v/>
      </c>
      <c r="G23" s="8">
        <f>ROUND(F23/12,0)</f>
        <v/>
      </c>
    </row>
    <row r="24">
      <c r="A24" s="4" t="inlineStr">
        <is>
          <t>DR Metropolitana</t>
        </is>
      </c>
      <c r="B24" s="4" t="inlineStr">
        <is>
          <t>Asesor/a Jurídico Regional</t>
        </is>
      </c>
      <c r="C24" s="4" t="inlineStr">
        <is>
          <t>8</t>
        </is>
      </c>
      <c r="D24" s="4" t="inlineStr">
        <is>
          <t>Soporte</t>
        </is>
      </c>
      <c r="E24" s="12">
        <f>'1. Parámetros'!B15</f>
        <v/>
      </c>
      <c r="F24" s="8">
        <f>ROUND('1. Parámetros'!B8*E24,0)</f>
        <v/>
      </c>
      <c r="G24" s="8">
        <f>ROUND(F24/12,0)</f>
        <v/>
      </c>
    </row>
    <row r="25">
      <c r="A25" s="4" t="inlineStr">
        <is>
          <t>DR Metropolitana</t>
        </is>
      </c>
      <c r="B25" s="4" t="inlineStr">
        <is>
          <t>Profesional de Gestión y Análisis</t>
        </is>
      </c>
      <c r="C25" s="4" t="inlineStr">
        <is>
          <t>11</t>
        </is>
      </c>
      <c r="D25" s="4" t="inlineStr">
        <is>
          <t>Soporte</t>
        </is>
      </c>
      <c r="E25" s="12">
        <f>'1. Parámetros'!B15</f>
        <v/>
      </c>
      <c r="F25" s="8">
        <f>ROUND('1. Parámetros'!B8*E25,0)</f>
        <v/>
      </c>
      <c r="G25" s="8">
        <f>ROUND(F25/12,0)</f>
        <v/>
      </c>
    </row>
    <row r="26">
      <c r="A26" s="4" t="inlineStr">
        <is>
          <t>DR Metropolitana</t>
        </is>
      </c>
      <c r="B26" s="4" t="inlineStr">
        <is>
          <t>Gestor/a Familiar Programa Eje</t>
        </is>
      </c>
      <c r="C26" s="4" t="inlineStr">
        <is>
          <t>17</t>
        </is>
      </c>
      <c r="D26" s="4" t="inlineStr">
        <is>
          <t>Ejecutor</t>
        </is>
      </c>
      <c r="E26" s="12">
        <f>'1. Parámetros'!B16</f>
        <v/>
      </c>
      <c r="F26" s="8">
        <f>ROUND('1. Parámetros'!B8*E26,0)</f>
        <v/>
      </c>
      <c r="G26" s="8">
        <f>ROUND(F26/12,0)</f>
        <v/>
      </c>
    </row>
    <row r="27">
      <c r="A27" s="4" t="inlineStr">
        <is>
          <t>Los Ríos</t>
        </is>
      </c>
      <c r="B27" s="4" t="inlineStr">
        <is>
          <t>Director/a Regional</t>
        </is>
      </c>
      <c r="C27" s="4" t="inlineStr">
        <is>
          <t>4</t>
        </is>
      </c>
      <c r="D27" s="4" t="inlineStr">
        <is>
          <t>Conducción</t>
        </is>
      </c>
      <c r="E27" s="12">
        <f>'1. Parámetros'!B13</f>
        <v/>
      </c>
      <c r="F27" s="8">
        <f>ROUND('1. Parámetros'!B8*E27,0)</f>
        <v/>
      </c>
      <c r="G27" s="8">
        <f>ROUND(F27/12,0)</f>
        <v/>
      </c>
    </row>
    <row r="28">
      <c r="A28" s="4" t="inlineStr">
        <is>
          <t>Los Ríos</t>
        </is>
      </c>
      <c r="B28" s="4" t="inlineStr">
        <is>
          <t>Profesional Regional de Rendiciones</t>
        </is>
      </c>
      <c r="C28" s="4" t="inlineStr">
        <is>
          <t>18</t>
        </is>
      </c>
      <c r="D28" s="4" t="inlineStr">
        <is>
          <t>Soporte</t>
        </is>
      </c>
      <c r="E28" s="12">
        <f>'1. Parámetros'!B15</f>
        <v/>
      </c>
      <c r="F28" s="8">
        <f>ROUND('1. Parámetros'!B8*E28,0)</f>
        <v/>
      </c>
      <c r="G28" s="8">
        <f>ROUND(F28/12,0)</f>
        <v/>
      </c>
    </row>
    <row r="29">
      <c r="A29" s="4" t="inlineStr">
        <is>
          <t>Arica y Parinacota</t>
        </is>
      </c>
      <c r="B29" s="4" t="inlineStr">
        <is>
          <t>Director/a Regional</t>
        </is>
      </c>
      <c r="C29" s="4" t="inlineStr">
        <is>
          <t>4</t>
        </is>
      </c>
      <c r="D29" s="4" t="inlineStr">
        <is>
          <t>Conducción</t>
        </is>
      </c>
      <c r="E29" s="12">
        <f>'1. Parámetros'!B13</f>
        <v/>
      </c>
      <c r="F29" s="8">
        <f>ROUND('1. Parámetros'!B8*E29,0)</f>
        <v/>
      </c>
      <c r="G29" s="8">
        <f>ROUND(F29/12,0)</f>
        <v/>
      </c>
    </row>
    <row r="30">
      <c r="A30" s="4" t="inlineStr">
        <is>
          <t>Ñuble</t>
        </is>
      </c>
      <c r="B30" s="4" t="inlineStr">
        <is>
          <t>Director/a Regional</t>
        </is>
      </c>
      <c r="C30" s="4" t="inlineStr">
        <is>
          <t>4</t>
        </is>
      </c>
      <c r="D30" s="4" t="inlineStr">
        <is>
          <t>Conducción</t>
        </is>
      </c>
      <c r="E30" s="12">
        <f>'1. Parámetros'!B13</f>
        <v/>
      </c>
      <c r="F30" s="8">
        <f>ROUND('1. Parámetros'!B8*E30,0)</f>
        <v/>
      </c>
      <c r="G30" s="8">
        <f>ROUND(F30/12,0)</f>
        <v/>
      </c>
    </row>
    <row r="31">
      <c r="A31" s="4" t="inlineStr">
        <is>
          <t>Ñuble</t>
        </is>
      </c>
      <c r="B31" s="4" t="inlineStr">
        <is>
          <t>Encargado/a de Personas Regional</t>
        </is>
      </c>
      <c r="C31" s="4" t="inlineStr">
        <is>
          <t>12</t>
        </is>
      </c>
      <c r="D31" s="4" t="inlineStr">
        <is>
          <t>Jefatura/Enc.</t>
        </is>
      </c>
      <c r="E31" s="12">
        <f>'1. Parámetros'!B14</f>
        <v/>
      </c>
      <c r="F31" s="8">
        <f>ROUND('1. Parámetros'!B8*E31,0)</f>
        <v/>
      </c>
      <c r="G31" s="8">
        <f>ROUND(F31/12,0)</f>
        <v/>
      </c>
    </row>
    <row r="32">
      <c r="A32" s="4" t="inlineStr">
        <is>
          <t>Ñuble</t>
        </is>
      </c>
      <c r="B32" s="4" t="inlineStr">
        <is>
          <t>Analista Técnico Contable</t>
        </is>
      </c>
      <c r="C32" s="4" t="inlineStr">
        <is>
          <t>16</t>
        </is>
      </c>
      <c r="D32" s="4" t="inlineStr">
        <is>
          <t>Soporte</t>
        </is>
      </c>
      <c r="E32" s="12">
        <f>'1. Parámetros'!B15</f>
        <v/>
      </c>
      <c r="F32" s="8">
        <f>ROUND('1. Parámetros'!B8*E32,0)</f>
        <v/>
      </c>
      <c r="G32" s="8">
        <f>ROUND(F32/12,0)</f>
        <v/>
      </c>
    </row>
    <row r="33">
      <c r="A33" s="4" t="inlineStr">
        <is>
          <t>Ñuble</t>
        </is>
      </c>
      <c r="B33" s="4" t="inlineStr">
        <is>
          <t>Apoyo Técnico Regional SSyOO</t>
        </is>
      </c>
      <c r="C33" s="4" t="inlineStr">
        <is>
          <t>17</t>
        </is>
      </c>
      <c r="D33" s="4" t="inlineStr">
        <is>
          <t>Soporte</t>
        </is>
      </c>
      <c r="E33" s="12">
        <f>'1. Parámetros'!B15</f>
        <v/>
      </c>
      <c r="F33" s="8">
        <f>ROUND('1. Parámetros'!B8*E33,0)</f>
        <v/>
      </c>
      <c r="G33" s="8">
        <f>ROUND(F33/12,0)</f>
        <v/>
      </c>
    </row>
    <row r="34">
      <c r="A34" s="4" t="inlineStr">
        <is>
          <t>Dirección Nacional</t>
        </is>
      </c>
      <c r="B34" s="4" t="inlineStr">
        <is>
          <t>Jefe/a de Gabinete</t>
        </is>
      </c>
      <c r="C34" s="4" t="inlineStr">
        <is>
          <t>4</t>
        </is>
      </c>
      <c r="D34" s="4" t="inlineStr">
        <is>
          <t>Jefatura/Enc.</t>
        </is>
      </c>
      <c r="E34" s="12">
        <f>'1. Parámetros'!B14</f>
        <v/>
      </c>
      <c r="F34" s="8">
        <f>ROUND('1. Parámetros'!B8*E34,0)</f>
        <v/>
      </c>
      <c r="G34" s="8">
        <f>ROUND(F34/12,0)</f>
        <v/>
      </c>
    </row>
    <row r="35">
      <c r="A35" s="4" t="inlineStr">
        <is>
          <t>Dirección Nacional</t>
        </is>
      </c>
      <c r="B35" s="4" t="inlineStr">
        <is>
          <t>Encargado/a de Innovación Central</t>
        </is>
      </c>
      <c r="C35" s="4" t="inlineStr">
        <is>
          <t>7</t>
        </is>
      </c>
      <c r="D35" s="4" t="inlineStr">
        <is>
          <t>Jefatura/Enc.</t>
        </is>
      </c>
      <c r="E35" s="12">
        <f>'1. Parámetros'!B14</f>
        <v/>
      </c>
      <c r="F35" s="8">
        <f>ROUND('1. Parámetros'!B8*E35,0)</f>
        <v/>
      </c>
      <c r="G35" s="8">
        <f>ROUND(F35/12,0)</f>
        <v/>
      </c>
    </row>
    <row r="36">
      <c r="A36" s="4" t="inlineStr">
        <is>
          <t>Dirección Nacional</t>
        </is>
      </c>
      <c r="B36" s="4" t="inlineStr">
        <is>
          <t>Asistente Administrativo Transversal</t>
        </is>
      </c>
      <c r="C36" s="4" t="inlineStr">
        <is>
          <t>10</t>
        </is>
      </c>
      <c r="D36" s="4" t="inlineStr">
        <is>
          <t>Soporte</t>
        </is>
      </c>
      <c r="E36" s="12">
        <f>'1. Parámetros'!B15</f>
        <v/>
      </c>
      <c r="F36" s="8">
        <f>ROUND('1. Parámetros'!B8*E36,0)</f>
        <v/>
      </c>
      <c r="G36" s="8">
        <f>ROUND(F36/12,0)</f>
        <v/>
      </c>
    </row>
    <row r="37">
      <c r="A37" s="4" t="inlineStr">
        <is>
          <t>Dirección Nacional</t>
        </is>
      </c>
      <c r="B37" s="4" t="inlineStr">
        <is>
          <t>Director/a Ejecutivo/a</t>
        </is>
      </c>
      <c r="C37" s="4" t="inlineStr">
        <is>
          <t>1C</t>
        </is>
      </c>
      <c r="D37" s="4" t="inlineStr">
        <is>
          <t>Conducción</t>
        </is>
      </c>
      <c r="E37" s="12">
        <f>'1. Parámetros'!B13</f>
        <v/>
      </c>
      <c r="F37" s="8">
        <f>ROUND('1. Parámetros'!B8*E37,0)</f>
        <v/>
      </c>
      <c r="G37" s="8">
        <f>ROUND(F37/12,0)</f>
        <v/>
      </c>
    </row>
    <row r="38">
      <c r="A38" s="4" t="inlineStr">
        <is>
          <t>Dirección Nacional</t>
        </is>
      </c>
      <c r="B38" s="4" t="inlineStr">
        <is>
          <t>Jefe/a Departamento de Presupuesto</t>
        </is>
      </c>
      <c r="C38" s="4" t="inlineStr">
        <is>
          <t>8</t>
        </is>
      </c>
      <c r="D38" s="4" t="inlineStr">
        <is>
          <t>Jefatura/Enc.</t>
        </is>
      </c>
      <c r="E38" s="12">
        <f>'1. Parámetros'!B14</f>
        <v/>
      </c>
      <c r="F38" s="8">
        <f>ROUND('1. Parámetros'!B8*E38,0)</f>
        <v/>
      </c>
      <c r="G38" s="8">
        <f>ROUND(F38/12,0)</f>
        <v/>
      </c>
    </row>
    <row r="39">
      <c r="A39" s="4" t="inlineStr">
        <is>
          <t>Dirección Nacional</t>
        </is>
      </c>
      <c r="B39" s="4" t="inlineStr">
        <is>
          <t>Profesional Sistemas Informáticos</t>
        </is>
      </c>
      <c r="C39" s="4" t="inlineStr">
        <is>
          <t>12</t>
        </is>
      </c>
      <c r="D39" s="4" t="inlineStr">
        <is>
          <t>Soporte</t>
        </is>
      </c>
      <c r="E39" s="12">
        <f>'1. Parámetros'!B15</f>
        <v/>
      </c>
      <c r="F39" s="8">
        <f>ROUND('1. Parámetros'!B8*E39,0)</f>
        <v/>
      </c>
      <c r="G39" s="8">
        <f>ROUND(F39/12,0)</f>
        <v/>
      </c>
    </row>
    <row r="40">
      <c r="A40" s="4" t="inlineStr">
        <is>
          <t>Dirección Nacional</t>
        </is>
      </c>
      <c r="B40" s="4" t="inlineStr">
        <is>
          <t>Profesional Sistemas Informáticos (Ciberseguridad)</t>
        </is>
      </c>
      <c r="C40" s="4" t="inlineStr">
        <is>
          <t>12</t>
        </is>
      </c>
      <c r="D40" s="4" t="inlineStr">
        <is>
          <t>Soporte</t>
        </is>
      </c>
      <c r="E40" s="12">
        <f>'1. Parámetros'!B15</f>
        <v/>
      </c>
      <c r="F40" s="8">
        <f>ROUND('1. Parámetros'!B8*E40,0)</f>
        <v/>
      </c>
      <c r="G40" s="8">
        <f>ROUND(F40/12,0)</f>
        <v/>
      </c>
    </row>
    <row r="41">
      <c r="A41" s="4" t="inlineStr">
        <is>
          <t>Dirección Nacional</t>
        </is>
      </c>
      <c r="B41" s="4" t="inlineStr">
        <is>
          <t>Profesional Sistemas Informáticos</t>
        </is>
      </c>
      <c r="C41" s="4" t="inlineStr">
        <is>
          <t>14</t>
        </is>
      </c>
      <c r="D41" s="4" t="inlineStr">
        <is>
          <t>Soporte</t>
        </is>
      </c>
      <c r="E41" s="12">
        <f>'1. Parámetros'!B15</f>
        <v/>
      </c>
      <c r="F41" s="8">
        <f>ROUND('1. Parámetros'!B8*E41,0)</f>
        <v/>
      </c>
      <c r="G41" s="8">
        <f>ROUND(F41/12,0)</f>
        <v/>
      </c>
    </row>
    <row r="42">
      <c r="A42" s="4" t="inlineStr">
        <is>
          <t>Dirección Nacional</t>
        </is>
      </c>
      <c r="B42" s="4" t="inlineStr">
        <is>
          <t>Profesional Desarrollo Organizacional</t>
        </is>
      </c>
      <c r="C42" s="4" t="inlineStr">
        <is>
          <t>11</t>
        </is>
      </c>
      <c r="D42" s="4" t="inlineStr">
        <is>
          <t>Soporte</t>
        </is>
      </c>
      <c r="E42" s="12">
        <f>'1. Parámetros'!B15</f>
        <v/>
      </c>
      <c r="F42" s="8">
        <f>ROUND('1. Parámetros'!B8*E42,0)</f>
        <v/>
      </c>
      <c r="G42" s="8">
        <f>ROUND(F42/12,0)</f>
        <v/>
      </c>
    </row>
    <row r="43">
      <c r="A43" s="4" t="inlineStr">
        <is>
          <t>Dirección Nacional</t>
        </is>
      </c>
      <c r="B43" s="4" t="inlineStr">
        <is>
          <t>Subdirector/a de Usuarios</t>
        </is>
      </c>
      <c r="C43" s="4" t="inlineStr">
        <is>
          <t>3</t>
        </is>
      </c>
      <c r="D43" s="4" t="inlineStr">
        <is>
          <t>Jefatura/Enc.</t>
        </is>
      </c>
      <c r="E43" s="12">
        <f>'1. Parámetros'!B14</f>
        <v/>
      </c>
      <c r="F43" s="8">
        <f>ROUND('1. Parámetros'!B8*E43,0)</f>
        <v/>
      </c>
      <c r="G43" s="8">
        <f>ROUND(F43/12,0)</f>
        <v/>
      </c>
    </row>
    <row r="44">
      <c r="A44" s="4" t="inlineStr">
        <is>
          <t>Dirección Nacional</t>
        </is>
      </c>
      <c r="B44" s="4" t="inlineStr">
        <is>
          <t>Profesional de Control de Gestión Central</t>
        </is>
      </c>
      <c r="C44" s="4" t="inlineStr">
        <is>
          <t>6</t>
        </is>
      </c>
      <c r="D44" s="4" t="inlineStr">
        <is>
          <t>Soporte</t>
        </is>
      </c>
      <c r="E44" s="12">
        <f>'1. Parámetros'!B15</f>
        <v/>
      </c>
      <c r="F44" s="8">
        <f>ROUND('1. Parámetros'!B8*E44,0)</f>
        <v/>
      </c>
      <c r="G44" s="8">
        <f>ROUND(F44/12,0)</f>
        <v/>
      </c>
    </row>
    <row r="45">
      <c r="A45" s="4" t="inlineStr">
        <is>
          <t>Dirección Nacional</t>
        </is>
      </c>
      <c r="B45" s="4" t="inlineStr">
        <is>
          <t>Jefe/a Departamento Emprendimiento y Empleabilidad</t>
        </is>
      </c>
      <c r="C45" s="4" t="inlineStr">
        <is>
          <t>5</t>
        </is>
      </c>
      <c r="D45" s="4" t="inlineStr">
        <is>
          <t>Jefatura/Enc.</t>
        </is>
      </c>
      <c r="E45" s="12">
        <f>'1. Parámetros'!B14</f>
        <v/>
      </c>
      <c r="F45" s="8">
        <f>ROUND('1. Parámetros'!B8*E45,0)</f>
        <v/>
      </c>
      <c r="G45" s="8">
        <f>ROUND(F45/12,0)</f>
        <v/>
      </c>
    </row>
    <row r="46">
      <c r="A46" s="9" t="inlineStr">
        <is>
          <t>TOTAL 41 VACANTES</t>
        </is>
      </c>
      <c r="B46" s="9" t="inlineStr"/>
      <c r="C46" s="9" t="inlineStr"/>
      <c r="D46" s="9" t="inlineStr"/>
      <c r="E46" s="9" t="inlineStr"/>
      <c r="F46" s="10">
        <f>SUM(F5:F45)</f>
        <v/>
      </c>
      <c r="G46" s="10">
        <f>SUM(G5:G45)</f>
        <v/>
      </c>
    </row>
    <row r="48">
      <c r="A48" s="13" t="inlineStr">
        <is>
          <t>Holgura presupuestaria disponible (Subt. 21 × holgura de 71 cupos / dotación)</t>
        </is>
      </c>
      <c r="B48" s="13" t="inlineStr"/>
      <c r="C48" s="13" t="inlineStr"/>
      <c r="D48" s="13" t="inlineStr"/>
      <c r="E48" s="13" t="inlineStr"/>
      <c r="F48" s="14">
        <f>'1. Parámetros'!B8*'3. Autorizado vs Real'!D4</f>
        <v/>
      </c>
      <c r="G48" s="13" t="inlineStr"/>
    </row>
    <row r="49">
      <c r="A49" s="13" t="inlineStr">
        <is>
          <t>¿El costeo de las 41 cabe en la holgura? (1 = sí)</t>
        </is>
      </c>
      <c r="B49" s="13" t="inlineStr"/>
      <c r="C49" s="13" t="inlineStr"/>
      <c r="D49" s="13" t="inlineStr"/>
      <c r="E49" s="13" t="inlineStr"/>
      <c r="F49" s="13">
        <f>IF(F48&gt;=F46,1,0)</f>
        <v/>
      </c>
      <c r="G49" s="13" t="inlineStr"/>
    </row>
    <row r="51">
      <c r="A51" s="2" t="inlineStr">
        <is>
          <t>OJO: el Subt. 21 financia la dotación completa; la 'holgura' es referencial (cupos no usados × costo promedio). Los 16 cargos de Director/a Regional ya se ejercen vía funciones directivas: proveerlos nominalmente puede no ser costo incremental.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</cols>
  <sheetData>
    <row r="1">
      <c r="A1" s="1" t="inlineStr">
        <is>
          <t>RESUMEN EJECUTIVO DEL COSTEO</t>
        </is>
      </c>
    </row>
    <row r="3">
      <c r="A3" s="3" t="inlineStr">
        <is>
          <t>Categoría</t>
        </is>
      </c>
      <c r="B3" s="3" t="inlineStr">
        <is>
          <t>N° vacantes 'SÍ'</t>
        </is>
      </c>
      <c r="C3" s="3" t="inlineStr">
        <is>
          <t>Costo anual estimado (miles $)</t>
        </is>
      </c>
    </row>
    <row r="4">
      <c r="A4" s="4" t="inlineStr">
        <is>
          <t>Conducción</t>
        </is>
      </c>
      <c r="B4" s="4">
        <f>COUNTIF('4. Simulación 41 vacantes'!D5:D45,"Conducción")</f>
        <v/>
      </c>
      <c r="C4" s="8">
        <f>SUMIF('4. Simulación 41 vacantes'!D5:D45,"Conducción",'4. Simulación 41 vacantes'!F5:F45)</f>
        <v/>
      </c>
    </row>
    <row r="5">
      <c r="A5" s="4" t="inlineStr">
        <is>
          <t>Jefatura/Enc.</t>
        </is>
      </c>
      <c r="B5" s="4">
        <f>COUNTIF('4. Simulación 41 vacantes'!D5:D45,"Jefatura/Enc.")</f>
        <v/>
      </c>
      <c r="C5" s="8">
        <f>SUMIF('4. Simulación 41 vacantes'!D5:D45,"Jefatura/Enc.",'4. Simulación 41 vacantes'!F5:F45)</f>
        <v/>
      </c>
    </row>
    <row r="6">
      <c r="A6" s="4" t="inlineStr">
        <is>
          <t>Soporte</t>
        </is>
      </c>
      <c r="B6" s="4">
        <f>COUNTIF('4. Simulación 41 vacantes'!D5:D45,"Soporte")</f>
        <v/>
      </c>
      <c r="C6" s="8">
        <f>SUMIF('4. Simulación 41 vacantes'!D5:D45,"Soporte",'4. Simulación 41 vacantes'!F5:F45)</f>
        <v/>
      </c>
    </row>
    <row r="7">
      <c r="A7" s="4" t="inlineStr">
        <is>
          <t>Ejecutor</t>
        </is>
      </c>
      <c r="B7" s="4">
        <f>COUNTIF('4. Simulación 41 vacantes'!D5:D45,"Ejecutor")</f>
        <v/>
      </c>
      <c r="C7" s="8">
        <f>SUMIF('4. Simulación 41 vacantes'!D5:D45,"Ejecutor",'4. Simulación 41 vacantes'!F5:F45)</f>
        <v/>
      </c>
    </row>
    <row r="8">
      <c r="A8" s="9" t="inlineStr">
        <is>
          <t>TOTAL</t>
        </is>
      </c>
      <c r="B8" s="9">
        <f>SUM(B4:B7)</f>
        <v/>
      </c>
      <c r="C8" s="10">
        <f>SUM(C4:C7)</f>
        <v/>
      </c>
    </row>
    <row r="11">
      <c r="A11" s="2" t="inlineStr">
        <is>
          <t>Mensajes para la presentación: (1) la plata existe en la Ley — la restricción es la Circular N°12; (2) los 16 DR ya están financiados vía funciones directivas, su registro nominal es costo ~$0; (3) priorizar ejecutores en regiones con déficit (Ñuble, Aysén, Los Ríos) maximiza impacto por peso gastado.</t>
        </is>
      </c>
    </row>
    <row r="12">
      <c r="A12" s="2" t="inlineStr">
        <is>
          <t>Modelo elaborado por DDO — junio 2026. Supuestos editables en hoja '1. Parámetros'. Calibrar con Transparencia Activa antes de uso oficial.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2026-06-12T01:45:56Z</dcterms:created>
  <dcterms:modified xmlns:dcterms="http://purl.org/dc/terms/" xmlns:xsi="http://www.w3.org/2001/XMLSchema-instance" xsi:type="dcterms:W3CDTF">2026-06-12T01:45:56Z</dcterms:modified>
</cp:coreProperties>
</file>